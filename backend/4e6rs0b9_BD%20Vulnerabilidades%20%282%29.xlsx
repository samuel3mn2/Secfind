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bhdleon.sharepoint.com/sites/CyberContCrisis/Shared Documents/9.0 Vulnerabilidades/VulnsDB/"/>
    </mc:Choice>
  </mc:AlternateContent>
  <xr:revisionPtr revIDLastSave="223" documentId="13_ncr:1_{75895F75-30D2-4431-BD5E-4C409D86946A}" xr6:coauthVersionLast="47" xr6:coauthVersionMax="47" xr10:uidLastSave="{3B8DE695-5F0C-47D6-A183-5496C2421B5D}"/>
  <bookViews>
    <workbookView xWindow="20370" yWindow="-4815" windowWidth="29040" windowHeight="15720" activeTab="1" xr2:uid="{F2FC45EA-43AE-4919-A493-5EE0005D85B0}"/>
  </bookViews>
  <sheets>
    <sheet name="Resumen Vulnerabilidades" sheetId="32" r:id="rId1"/>
    <sheet name="Consolidado" sheetId="1" r:id="rId2"/>
    <sheet name="CamposFijos" sheetId="2" r:id="rId3"/>
    <sheet name="Para Lamina" sheetId="35" r:id="rId4"/>
  </sheets>
  <externalReferences>
    <externalReference r:id="rId5"/>
  </externalReferences>
  <definedNames>
    <definedName name="_xlcn.WorksheetConnection_Extracciondevulnerabilidades_New.xlsxConsolidado71" hidden="1">Consolidado7[]</definedName>
    <definedName name="Frecuencia">[1]Data!$I$23:$I$26</definedName>
    <definedName name="Impactos">[1]Data!$F$23:$F$26</definedName>
    <definedName name="instTest">TableInstitucion[Institucion]</definedName>
    <definedName name="Slicer_Nombre_informe_de_pentest">#N/A</definedName>
    <definedName name="Timeline_Fecha_Hallazgo">#N/A</definedName>
    <definedName name="Val_Frecuencia">[1]Data!$I$23:$J$26</definedName>
    <definedName name="Val_Impactos">[1]Data!$F$23:$G$26</definedName>
    <definedName name="Val_Riesgo2">[1]Data!$F$29:$G$38</definedName>
  </definedNames>
  <calcPr calcId="191028"/>
  <pivotCaches>
    <pivotCache cacheId="7" r:id="rId6"/>
    <pivotCache cacheId="130" r:id="rId7"/>
    <pivotCache cacheId="133" r:id="rId8"/>
    <pivotCache cacheId="136" r:id="rId9"/>
    <pivotCache cacheId="145" r:id="rId10"/>
  </pivotCaches>
  <extLst>
    <ext xmlns:x14="http://schemas.microsoft.com/office/spreadsheetml/2009/9/main" uri="{876F7934-8845-4945-9796-88D515C7AA90}">
      <x14:pivotCaches>
        <pivotCache cacheId="12"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nsolidado7" name="Consolidado7" connection="WorksheetConnection_Extraccion de vulnerabilidades_New.xlsx!Consolidado7"/>
        </x15:modelTables>
        <x15:extLst>
          <ext xmlns:x16="http://schemas.microsoft.com/office/spreadsheetml/2014/11/main" uri="{9835A34E-60A6-4A7C-AAB8-D5F71C897F49}">
            <x16:modelTimeGroupings>
              <x16:modelTimeGrouping tableName="Consolidado7" columnName="Fecha Hallazgo" columnId="Fecha Hallazgo">
                <x16:calculatedTimeColumn columnName="Fecha Hallazgo (Year)" columnId="Fecha Hallazgo (Year)" contentType="years" isSelected="1"/>
                <x16:calculatedTimeColumn columnName="Fecha Hallazgo (Quarter)" columnId="Fecha Hallazgo (Quarter)" contentType="quarters" isSelected="1"/>
                <x16:calculatedTimeColumn columnName="Fecha Hallazgo (Month Index)" columnId="Fecha Hallazgo (Month Index)" contentType="monthsindex" isSelected="1"/>
                <x16:calculatedTimeColumn columnName="Fecha Hallazgo (Month)" columnId="Fecha Hallazgo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56" i="32" l="1"/>
  <c r="R257" i="32"/>
  <c r="R258" i="32"/>
  <c r="R255" i="3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tc={20514130-740D-4EA7-92CD-6EFA998D35C5}</author>
    <author>tc={6DDE1203-2E28-4402-8B37-058AED26040B}</author>
    <author>tc={1AC889B6-8133-49AB-99A5-281580A35CAE}</author>
    <author>EUDES HERNANDEZ, BHD</author>
  </authors>
  <commentList>
    <comment ref="D61" authorId="0" shapeId="0" xr:uid="{20514130-740D-4EA7-92CD-6EFA998D35C5}">
      <text>
        <t>[Threaded comment]
Your version of Excel allows you to read this threaded comment; however, any edits to it will get removed if the file is opened in a newer version of Excel. Learn more: https://go.microsoft.com/fwlink/?linkid=870924
Comment:
    Buscar el resultado de retest</t>
      </text>
    </comment>
    <comment ref="C68" authorId="1" shapeId="0" xr:uid="{6DDE1203-2E28-4402-8B37-058AED26040B}">
      <text>
        <t>[Threaded comment]
Your version of Excel allows you to read this threaded comment; however, any edits to it will get removed if the file is opened in a newer version of Excel. Learn more: https://go.microsoft.com/fwlink/?linkid=870924
Comment:
    Consultar porque IBP no genera flujo de onboarding de cuenta mobil</t>
      </text>
    </comment>
    <comment ref="D70" authorId="2" shapeId="0" xr:uid="{1AC889B6-8133-49AB-99A5-281580A35CAE}">
      <text>
        <t>[Threaded comment]
Your version of Excel allows you to read this threaded comment; however, any edits to it will get removed if the file is opened in a newer version of Excel. Learn more: https://go.microsoft.com/fwlink/?linkid=870924
Comment:
    Busca el Resultado de retest</t>
      </text>
    </comment>
    <comment ref="D165" authorId="3" shapeId="0" xr:uid="{7308210C-2A46-4E09-96D6-C6B5823A938C}">
      <text>
        <r>
          <rPr>
            <b/>
            <sz val="9"/>
            <color indexed="81"/>
            <rFont val="Tahoma"/>
            <family val="2"/>
          </rPr>
          <t>EUDES HERNANDEZ, BHD:</t>
        </r>
        <r>
          <rPr>
            <sz val="9"/>
            <color indexed="81"/>
            <rFont val="Tahoma"/>
            <family val="2"/>
          </rPr>
          <t xml:space="preserve">
Validar Fecha, severidad y estatus</t>
        </r>
      </text>
    </comment>
    <comment ref="D175" authorId="3" shapeId="0" xr:uid="{AE3FB8EC-36B1-4B8B-8BA4-53ADA0294E00}">
      <text>
        <r>
          <rPr>
            <b/>
            <sz val="9"/>
            <color indexed="81"/>
            <rFont val="Tahoma"/>
            <family val="2"/>
          </rPr>
          <t>EUDES HERNANDEZ, BHD:</t>
        </r>
        <r>
          <rPr>
            <sz val="9"/>
            <color indexed="81"/>
            <rFont val="Tahoma"/>
            <family val="2"/>
          </rPr>
          <t xml:space="preserve">
Validar Fecha y estatus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FCA0D1-8752-494E-825A-3B336412EE7E}" keepAlive="1" name="Query - Table004 (Page 6)" description="Connection to the 'Table004 (Page 6)' query in the workbook." type="5" refreshedVersion="8" background="1" saveData="1">
    <dbPr connection="Provider=Microsoft.Mashup.OleDb.1;Data Source=$Workbook$;Location=&quot;Table004 (Page 6)&quot;;Extended Properties=&quot;&quot;" command="SELECT * FROM [Table004 (Page 6)]"/>
  </connection>
  <connection id="2" xr16:uid="{1336E57C-AE26-41C9-A50A-8FCADCDF63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1422327-3254-4F30-93CD-9A2E2F226842}" name="WorksheetConnection_Extraccion de vulnerabilidades_New.xlsx!Consolidado7" type="102" refreshedVersion="8" minRefreshableVersion="5">
    <extLst>
      <ext xmlns:x15="http://schemas.microsoft.com/office/spreadsheetml/2010/11/main" uri="{DE250136-89BD-433C-8126-D09CA5730AF9}">
        <x15:connection id="Consolidado7" autoDelete="1">
          <x15:rangePr sourceName="_xlcn.WorksheetConnection_Extracciondevulnerabilidades_New.xlsxConsolidado71"/>
        </x15:connection>
      </ext>
    </extLst>
  </connection>
</connections>
</file>

<file path=xl/sharedStrings.xml><?xml version="1.0" encoding="utf-8"?>
<sst xmlns="http://schemas.openxmlformats.org/spreadsheetml/2006/main" count="2544" uniqueCount="646">
  <si>
    <t>Vulnerabilidades  x severidad</t>
  </si>
  <si>
    <t>Mapa de calor ilustrativo</t>
  </si>
  <si>
    <t>Nombre informe de pentest</t>
  </si>
  <si>
    <t>Vulnerabilidad</t>
  </si>
  <si>
    <t>Severidad</t>
  </si>
  <si>
    <t>Resultado Re Test</t>
  </si>
  <si>
    <t>Count of Vulnerabilidad</t>
  </si>
  <si>
    <t>Row Labels</t>
  </si>
  <si>
    <t>Probabilidad</t>
  </si>
  <si>
    <t>13.Emulación de Adversarios a Puesto de Bolsa BHD</t>
  </si>
  <si>
    <t>Acceso a funcionalidades no autorizadas a través de modificación de XML de permisos</t>
  </si>
  <si>
    <t>Alta</t>
  </si>
  <si>
    <t>Vulnerable</t>
  </si>
  <si>
    <t>Comunicación en texto plano entre aplicación y servidor SQL expone datos sensibles</t>
  </si>
  <si>
    <t>Corregido</t>
  </si>
  <si>
    <t>Critica</t>
  </si>
  <si>
    <t>Consulta no autenticada de estado y vinculación de clientes</t>
  </si>
  <si>
    <t>Media</t>
  </si>
  <si>
    <t>Despliegue inseguro de software desde carpeta compartida permite ejecución de código malicioso</t>
  </si>
  <si>
    <t>Grand Total</t>
  </si>
  <si>
    <t>Diseño inseguro permite compromiso total del sistema mediante evasión de validaciones mediante manipulación de código</t>
  </si>
  <si>
    <t>Diseño inseguro permite evadir control de autenticación resultando en acceso ilegitimo a la aplicación</t>
  </si>
  <si>
    <t>Exposición de archivos de de configuración en recursos compartidos</t>
  </si>
  <si>
    <t xml:space="preserve">Status Vulnerabilidades </t>
  </si>
  <si>
    <t>Exposición de credenciales Oracle en archivo de configuración XML</t>
  </si>
  <si>
    <t>Impacto</t>
  </si>
  <si>
    <t>Exposición de Java RMI sin cifrado permite manipulación de objetos en ataques MiTM</t>
  </si>
  <si>
    <t>Falta de token de autenticación permite secuestro de sesión de usuario sin credenciales</t>
  </si>
  <si>
    <t>Desestimado</t>
  </si>
  <si>
    <t>Inyección SQL no autenticada permite exfiltración de datos, robo de Hash Net-NTLMV2 y ejecución arbitraria de comandos</t>
  </si>
  <si>
    <t>Llave fija para desencriptar credenciales de usuarios de base de datos permite escalamiento de privilegios dentro de la aplicación</t>
  </si>
  <si>
    <t>2.Emulación de Adversarios al Endurecimiento de Active Directory del BHD</t>
  </si>
  <si>
    <t>Ataque de degradado Net-NTLM hacia activos con SMBv1 permite
escalamiento de privilegios y volcado de credenciales de dominio</t>
  </si>
  <si>
    <t>Credenciales expuestas en recurso compartido permiten acceso no
autorizado y compromiso de servidor SQL</t>
  </si>
  <si>
    <t>Credenciales filtradas de portales internos en desarrollo</t>
  </si>
  <si>
    <t>Diseño inseguro permite obviar captcha en aplicación interna Bank
Office</t>
  </si>
  <si>
    <t>Conteo Retest</t>
  </si>
  <si>
    <t>Envenenamiento de MDNS permite captura de autenticación Net-NTLMv2</t>
  </si>
  <si>
    <t>Falta de protección de LSA resulta en robo de credenciales y
escalamiento de privilegios en el dominio</t>
  </si>
  <si>
    <t>Reutilización de contraseñas de administrador local en múltiples
equipos del dominio</t>
  </si>
  <si>
    <t>3.BHD - Informe de Emulación de Adversario - Joyas de la Corona</t>
  </si>
  <si>
    <t>Control de Acceso de Redes Insuficiente</t>
  </si>
  <si>
    <t>Divulgación de Datos de Cliente en Servicio de Estados de Cuenta</t>
  </si>
  <si>
    <t>Escalamiento de Privilegios y Compromiso del Dominio por Exposición de Credenciales</t>
  </si>
  <si>
    <t>Exposición de Multicast DNS (mDNS): Ataque NTLM Relay para Obtención de Acceso Inicial</t>
  </si>
  <si>
    <t>Exposición del puerto UDP 53 permite evadir portal cautivo y acceso a Internet</t>
  </si>
  <si>
    <t>4.Emulación de Adversarios a Controles de Transferencias en Canales Electrónicos</t>
  </si>
  <si>
    <t>Aprobación de PIN Pesos desde Cuenta de Origen de Terceros</t>
  </si>
  <si>
    <t>Ausencia de enmascaramiento en datos de tarjeta de crédito</t>
  </si>
  <si>
    <t>Bypass a validación de prueba de vida biométrica y documento de contra padrón JCE.</t>
  </si>
  <si>
    <t>Bypass de validación de identidad para generación de PIN Pesos</t>
  </si>
  <si>
    <t>Control no autorizado sobre la gestión de enlaces de pago de cuentas arbitrarias</t>
  </si>
  <si>
    <t>Creación no autorizada de usuarios en cuentas empresariales de terceros</t>
  </si>
  <si>
    <t>Divulgación de Datos de Empresas de Terceros por Falta de Autorización en Administración de Usuarios</t>
  </si>
  <si>
    <t>Divulgación de transacciones y plantillas de terceros mediante función de carga de Pin Pesos</t>
  </si>
  <si>
    <t>Evasión de Tarjeta de Clave y pago no autorizado hacia tarjetas de crédito de terceros mediante transferencias entre mis productos</t>
  </si>
  <si>
    <t>Falta de enmascaramiento en datos de tarjeta de crédito</t>
  </si>
  <si>
    <t>Falta de validación de correspondencia entre cédula y correo en flujo OTP</t>
  </si>
  <si>
    <t>Flujo Inseguro de Onboarding por Falta de Validación de Identidad para Creación de Usuarios</t>
  </si>
  <si>
    <t>Prueba de Penetración a API de Corresponsales de Remesas</t>
  </si>
  <si>
    <t>Eliminación de remesas de otros corresponsales</t>
  </si>
  <si>
    <t>Enumeración de corresponsales</t>
  </si>
  <si>
    <t>Falta de validación de corresponsal permite creación de remesas a nombre de otro corresponsal</t>
  </si>
  <si>
    <t>implementación deficiente de mTLS</t>
  </si>
  <si>
    <t>Manipulación de parámetros permite creación de remesas fraudulentas</t>
  </si>
  <si>
    <t>Prueba de Penetración a API de Generación y Consulta de Código QR</t>
  </si>
  <si>
    <t>Falta de Validación de Esquema en la API Permite Almacenamiento y Exposición de Campos Arbitrarios</t>
  </si>
  <si>
    <t>Sobrescritura de Datos a través de Inclusión Manual de UUID en el Cuerpo de la Solicitud</t>
  </si>
  <si>
    <t>Prueba de Penetración a Aplicación Web VEO para Validación de Ofertas Pre-Aprobada</t>
  </si>
  <si>
    <t>Configuración Permisiva de CORS Permite Solicitudes Autenticadas desde Dominios No Confiables</t>
  </si>
  <si>
    <t>Emisión Insegura de Token JWT mediante Enumeración de Identidad</t>
  </si>
  <si>
    <t>Prueba de Penetración del Marco de Seguridad de Clientes SWIFT para Banco BHD</t>
  </si>
  <si>
    <t>Acceso de Entrada No Restringido hacia Estaciones de Trabajo SWIFT (Falta de Segmentación y Exposición de Servicios Remotos)</t>
  </si>
  <si>
    <t>Acceso de Salida No Restringido desde estaciones de trabajo de SWIFT</t>
  </si>
  <si>
    <t>Evasión de los Controles de Restricción de Ejecución (SRP) en la Estación Segura Utilizada para Operar SWIFT</t>
  </si>
  <si>
    <t>Hardening insuficiente: Falta de Proteccion de LSA</t>
  </si>
  <si>
    <t>Valor predeterminado inseguro “KEYSTORE_PASSWORD” en SWIFT Web Alliance</t>
  </si>
  <si>
    <t>Fecha Hallazgo</t>
  </si>
  <si>
    <t>Institucion</t>
  </si>
  <si>
    <t>Aplicacion</t>
  </si>
  <si>
    <t>Recomendaciones</t>
  </si>
  <si>
    <t>Notas</t>
  </si>
  <si>
    <t>Riesgo Asociado</t>
  </si>
  <si>
    <t>Descripcion del riesgo</t>
  </si>
  <si>
    <t>Responsable</t>
  </si>
  <si>
    <t>Fecha de Compromiso</t>
  </si>
  <si>
    <t>Notas sobre Plan de accion</t>
  </si>
  <si>
    <t>Estatus</t>
  </si>
  <si>
    <t>Probado Por</t>
  </si>
  <si>
    <t>Notas de impedimento</t>
  </si>
  <si>
    <t xml:space="preserve">Fecha de recepcion </t>
  </si>
  <si>
    <t>Veces en Re Test</t>
  </si>
  <si>
    <t>PonderacionInformeVulnerabilidad</t>
  </si>
  <si>
    <t>Proveedor</t>
  </si>
  <si>
    <t>Activos afectados</t>
  </si>
  <si>
    <t>BHD</t>
  </si>
  <si>
    <t>Open SMTP relay de forma no autenticada</t>
  </si>
  <si>
    <t>&gt;Aplicar la autenticación SMTP.
&gt;Deshabilite la retransmisión SMTP.</t>
  </si>
  <si>
    <t>Cerrado</t>
  </si>
  <si>
    <t>Pentraze</t>
  </si>
  <si>
    <t>VULN_PA_VCC_3</t>
  </si>
  <si>
    <t>8.Primera emulacion de adversario BHD_Vulnerabilidades y Cambios de Configuraciones</t>
  </si>
  <si>
    <t>Divulgación de información en recursos compartidos NFS exportados para Everyone</t>
  </si>
  <si>
    <t>&gt;Evite almacenar datos sensibles en el frontend de la página y mantener toda la lógica crítica en el backend.</t>
  </si>
  <si>
    <t>Pendiente</t>
  </si>
  <si>
    <t>Export list for 172.17.106.107:
/CIS (everyone)</t>
  </si>
  <si>
    <t>VULN_PA_VCC_2</t>
  </si>
  <si>
    <t>MBP_IBP</t>
  </si>
  <si>
    <t>Evasión de 2FA (Key Card) de transacciones entre cuentas</t>
  </si>
  <si>
    <t>&gt;Es posible habilitar la transacción entre cuentas sin tener que pasar por el proceso 2FA del Key Card. Al momento de iniciar sesión, es posible alterar la respuesta por parte del servidor durante la petición HTTP GET /bhd/api/v2.1/personal/web/client-info y colocar el parámetro allowTransactionWithoutKeyCard igual a 1.</t>
  </si>
  <si>
    <t>VULN_PE_CE_1</t>
  </si>
  <si>
    <t>6.Primera emulacion de adversario BHD_Canales Electronicos</t>
  </si>
  <si>
    <t>IBP</t>
  </si>
  <si>
    <t>Omisión del token keycard para cambio de información personal.</t>
  </si>
  <si>
    <t>&gt;Enforzar esta validación del requerimiento de la tarjeta de claves a nivel de backend.</t>
  </si>
  <si>
    <t>VULN_PE_CE_10</t>
  </si>
  <si>
    <t>Broken Access Control en funcionalidad business-executive vía parámetro contactId.</t>
  </si>
  <si>
    <t>&gt;Implementar controles que verifiquen que el parámetro contactId no pueda ser manipulado o utilizado por usuarios no autorizados para acceder a información de otros clientes</t>
  </si>
  <si>
    <t>VULN_PE_CE_11</t>
  </si>
  <si>
    <t>IBP_API-GW</t>
  </si>
  <si>
    <t>&gt;Implementar enmascaramiento de datos: Asegurar que todos los números de tarjeta de crédito mostrados en las interfaces de usuario estén enmascarados, mostrando solo los primeros y últimos cuatro dígitos, conforme al estándar PCI DSS.</t>
  </si>
  <si>
    <t>VULN_PE_CE_12</t>
  </si>
  <si>
    <t>IBP_IBE</t>
  </si>
  <si>
    <t>Acceso no autorizado al saldo de cuentas</t>
  </si>
  <si>
    <t>&gt;Asegúrese de que un usuario solo pueda recuperar información de sus propias cuentas.</t>
  </si>
  <si>
    <t>VULN_PE_CE_13</t>
  </si>
  <si>
    <t>TDC Notificaciones API_IBP/IBE</t>
  </si>
  <si>
    <t>Alteración de correo electrónico debido a ausencia de saneamiento.</t>
  </si>
  <si>
    <t>&gt;Verifica que los inputs cumplan con los formatos esperados (ej. longitud, tipo de datos, patrones específicos) antes de procesarlos; Además de validar en el lado del cliente, realiza siempre la validación en el servidor, ya que el cliente puede ser manipulado.</t>
  </si>
  <si>
    <t>VULN_PE_CE_14</t>
  </si>
  <si>
    <t>API GW</t>
  </si>
  <si>
    <t>Configuración Permisiva de CORS Permite Solicitudes Autenticadas desde Dominios No Confiables.</t>
  </si>
  <si>
    <t>&gt;Configuración específica de origen: Modificar la configuración de CORS para que Access-Control-Allow-Origin no sea un comodín (*) y en su lugar se especifiquen dominios de confianza. Esto asegura que solo los orígenes legítimos puedan realizar solicitudes autenticadas.
&gt;Deshabilitar credenciales para orígenes múltiples: Revisar si el uso de Access-Control-Allow-Credentials: True es necesario. Si es posible, deshabilitar esta opción para prevenir que credenciales sean enviadas junto con solicitudes de orígenes cruzados.</t>
  </si>
  <si>
    <t>VULN_PE_CE_15</t>
  </si>
  <si>
    <t>API-GW</t>
  </si>
  <si>
    <t>Broken Access Control en funcionalidad web-account-statements-report</t>
  </si>
  <si>
    <t>&gt;Implementar controles que verifiquen que el parámetro contactId no pueda ser manipulado o utilizado por usuarios no autorizados para acceder a información de otros clientes.</t>
  </si>
  <si>
    <t>VULN_PE_CE_16</t>
  </si>
  <si>
    <t>Active Directory</t>
  </si>
  <si>
    <t>&gt;Eliminar archivos con credenciales en texto plano.
&gt;Rotar inmediatamente las credenciales expuestas.
&gt;Restringir permisos en el recurso compartido.
&gt;Revisar y limitar privilegios de la cuenta afectada.</t>
  </si>
  <si>
    <t>En Proceso</t>
  </si>
  <si>
    <t>VULN_EA_EAD_1</t>
  </si>
  <si>
    <t>Active directory</t>
  </si>
  <si>
    <t>Purple Team</t>
  </si>
  <si>
    <t>Protocolo Multicast DNS</t>
  </si>
  <si>
    <t>&gt;Deshabilitar mDNS en dispositivos que no lo requieran para reducir la exposición de
servicios y nombres de host.
&gt;Restringir el uso de NTLM y priorizar protocolos más seguros como Kerberos para evitar
ataques de retransmisión.
&gt;Implementar SMB Signing y Extended Protection for Authentication (EPA) para
mitigar ataques NTLM Relay.
&gt;Monitorear y registrar actividad inusual en autenticaciones NTLM para identificar
posibles intentos de retransmisión.</t>
  </si>
  <si>
    <t>VULN_EA_JC_1</t>
  </si>
  <si>
    <t>cfbhd.com 172.17.103.57 172.17.103.60 172.17.103.71 172.17.103.78 172.17.104.35 172.17.106.68 172.17.106.97 172.17.52.44 172.17.52.54 172.17.103.142 172.17.103.156 172.17.103.167 172.17.103.220 172.17.103.247 172.17.52.142 172.17.103.249 192.168.237.5</t>
  </si>
  <si>
    <t>NAC</t>
  </si>
  <si>
    <t>VULN_EA_JC_4</t>
  </si>
  <si>
    <t>Infraestructura de redes/NAC</t>
  </si>
  <si>
    <t>MBE</t>
  </si>
  <si>
    <t>Enumeración de usuarios vía discrepancia observable a través del endpoint /mbe/security/otp</t>
  </si>
  <si>
    <t>&gt;Asegúrese de que los mensajes por parte del servidor solo contengan detalles mínimos que sean útiles para el público objetivo y para nadie más</t>
  </si>
  <si>
    <t>VULN_PE_CE_17</t>
  </si>
  <si>
    <t>&gt;Configurar la Protección de LSA (RunAsPPL) en todas las máquinas del dominio. (Nota: Solo disponible en versiones de Windows superiores a 8.1 o 2012 R2.)</t>
  </si>
  <si>
    <t>VULN_EA_EAD_2</t>
  </si>
  <si>
    <t>&gt;Implementar Microsoft LAPS o Windows LAPS, para generar y rotar automáticamente contraseñas únicas y aleatorias en cada equipo del dominio.
&gt;Restringir el acceso remoto con cuentas locales mediante políticas de grupo.</t>
  </si>
  <si>
    <t>VULN_EA_EAD_3</t>
  </si>
  <si>
    <t>&gt;Deshabilitar SMBv1: Es fundamental deshabilitar el protocolo SMBv1 en todas las máquinas con sistemas operativos Windows. Microsoft ha deshabilitado por defecto SMBv1 en versiones más recientes, y recomienda su deshabilitación en versiones anteriores debido a sus múltiples vulnerabilidades. Esto se puede lograr a través de directivas de grupo (GPO) para una implementación a nivel de dominio.
&gt;Restringir la Autenticación SMB a NTLMv2: Configurar las políticas de seguridad para que los clientes SMB solo permitan la autenticación con Net-NTLMv2. Esto se puede hacer a través de las opciones de seguridad de la red en la configuración de GPO del dominio.</t>
  </si>
  <si>
    <t>VULN_EA_EAD_4</t>
  </si>
  <si>
    <t>&gt;Almacenar las credenciales en gestores de contraseñas y evitar almacenamiento de credenciales en los navegadores web.
&gt;Cambiar todas las contraseñas frecuentemente.
&gt;Eliminar las credenciales de todo ex-colaborador de la empresa</t>
  </si>
  <si>
    <t>VULN_EA_EAD_5</t>
  </si>
  <si>
    <t>&gt;Deshabilitar el Protocolo mDNS: Desactivar el protocolo mDNS, así como otros protocolos de resolución de nombres inseguros como LLMNR (Link-Local Multicast Name Resolution) y NBT-NS (NetBIOS Name Service), a través de políticas de grupo (GPO) o reglas de Firewall.
&gt;Uso de Autenticación Segura: Priorizar el uso del protocolo de autenticación Kerberos en lugar de NTLMv2.</t>
  </si>
  <si>
    <t>VULN_EA_EAD_6</t>
  </si>
  <si>
    <t>&gt;Es necesario cambiar la forma en la que las tareas de monitoreo se realizan en la aplicación. En vez de utilizar un usuario dedicado para monitoreo, que introduce una cuenta con privilegios centralizados y conlleva a este tipo de vulnerabilidades, es preferible optar por soluciones que recopilen información relevante de forma directa en el back-end.
&gt;Remover el código fuente del recurso compartido.</t>
  </si>
  <si>
    <t>VULN_EA_EAD_7</t>
  </si>
  <si>
    <t>Swift</t>
  </si>
  <si>
    <t>&gt;Aplicar principios de privilegio mínimo en cuentas de servicio para limitar su impacto en
caso de compromiso.
&gt;Eliminar credenciales en texto claro dentro de archivos de configuración y utilizar
métodos seguros de almacenamiento.
&gt;Restringir accesos a recursos compartidos SMB, asegurando que solo cuentas
autorizadas puedan acceder a archivos sensibles.
&gt;Rotar credenciales comprometidas y reforzar políticas de administración de
contraseñas.</t>
  </si>
  <si>
    <t>VULN_EA_JC_2</t>
  </si>
  <si>
    <t>172.17.103.71</t>
  </si>
  <si>
    <t>https://serwebprd04.cfbhd.com/EstadosCuentaPeticion</t>
  </si>
  <si>
    <t>&gt;Implementar autenticación obligatoria los diferentes controladores de la aplicación para
restringir el acceso solo a usuarios autorizados.
&gt;Aplicar controles de autorización para garantizar que cada usuario solo pueda consultar
estados de cuenta según sus permisos.
&gt;Monitorear el acceso y uso del servicio mediante alertas y auditorías periódicas.</t>
  </si>
  <si>
    <t>VULN_EA_JC_3</t>
  </si>
  <si>
    <t>ECP_BHDLeon.dll</t>
  </si>
  <si>
    <t>Wifi</t>
  </si>
  <si>
    <t>VULN_EA_JC_5</t>
  </si>
  <si>
    <t xml:space="preserve"> Wi-Fi de Visitantes</t>
  </si>
  <si>
    <t>Enumeración de usuarios vía discrepancia observable a través del endpoint /business/login</t>
  </si>
  <si>
    <t>&gt;Asegúrese de que los mensajes por parte del servidor solo contengan detalles mínimos que sean útiles para el público objetivo y para nadie más.</t>
  </si>
  <si>
    <t>VULN_PE_CE_18</t>
  </si>
  <si>
    <t>Enumeración de usuarios vía discrepancia observable a través del endpoint /forgot-password</t>
  </si>
  <si>
    <t>VULN_PE_CE_19</t>
  </si>
  <si>
    <t>IBE</t>
  </si>
  <si>
    <t>VULN_EA_CTCE_6</t>
  </si>
  <si>
    <t>Manipulación de parámetros en transacciones financieras</t>
  </si>
  <si>
    <t>Falta de integridad de la informacion</t>
  </si>
  <si>
    <t>BHD - Pentest Web IBE</t>
  </si>
  <si>
    <t>GBM</t>
  </si>
  <si>
    <t>MBP_IBP_MBE_IBE</t>
  </si>
  <si>
    <t>Password spraying debido a restricción inadecuada de intentos de autenticación excesivos</t>
  </si>
  <si>
    <t>&gt;Configurar la aplicación para limitar el número de intentos de inicio de sesión fallidos por dirección IP.
&gt;Requerir al usuario validar un CAPTCHA antes de cada intento de inicio de sesión.</t>
  </si>
  <si>
    <t>VULN_PE_CE_2</t>
  </si>
  <si>
    <t>Credenciales en Texto Plano Almacenadas en Archivo de políticas .pol (Empresarial)</t>
  </si>
  <si>
    <t>Vulnerabilidades sueltas</t>
  </si>
  <si>
    <t>Aplicación web potencialmente vulnerable a Clickjacking</t>
  </si>
  <si>
    <t>Ausencia de protección contra ataques cibernético</t>
  </si>
  <si>
    <t xml:space="preserve">Ausencia de Headers de seguridad </t>
  </si>
  <si>
    <t>Baja</t>
  </si>
  <si>
    <t>Divulgación no autorizada de beneficiarios inscritos por IBE Mobile.</t>
  </si>
  <si>
    <t>&gt;Validar del lado del servidor que la compañía enviada corresponde al usuario autenticado.</t>
  </si>
  <si>
    <t>VULN_PE_CE_20</t>
  </si>
  <si>
    <t>Acceso no autorizado al historial de transacciones</t>
  </si>
  <si>
    <t>VULN_PE_CE_21</t>
  </si>
  <si>
    <t>VULN_EA_CTCE_9</t>
  </si>
  <si>
    <t>VULN_EA_CTCE_12</t>
  </si>
  <si>
    <t>Acceso no autorizado al historial de transacciones en Internet Banking Empresarial</t>
  </si>
  <si>
    <t>VULN_PE_CE_22</t>
  </si>
  <si>
    <t>Fondo</t>
  </si>
  <si>
    <t>SIFI Cloud</t>
  </si>
  <si>
    <t>Ausencia de Autenticación en Apache ODE</t>
  </si>
  <si>
    <t>&gt;Configurar autenticación robusta para todos los accesos a Apache ODE, especialmente para interfaces de administración y ejecución de procesos.
&gt;Implemente Control de Acceso Basado en Roles (RBAC), donde solo usuarios autorizados tengan acceso a funcionalidades críticas según su rol.</t>
  </si>
  <si>
    <t>VULN_PP_SC_2</t>
  </si>
  <si>
    <t>11.Pruebas de Penetración a SIFI Cloud</t>
  </si>
  <si>
    <t>VULN_EA_CTCE_7</t>
  </si>
  <si>
    <t>Para este re-test necesitamos también una segunda cuenta para tener ambos perfiles: Atacante y Victima.
No se puede probar en ambientes bajos debido a inconvenientes de conexion con VU.
30/7/2025, recepcion de vulnerable 6/8/2025
Recibido para retest 14/8/2025</t>
  </si>
  <si>
    <t>VULN_EA_CTCE_2</t>
  </si>
  <si>
    <t>BHDIB</t>
  </si>
  <si>
    <t>Exposición de Números de Tarjetas de Crédito en Texto Claro y Datos Sensibles en directorio HOME</t>
  </si>
  <si>
    <t>Ramon Guzman</t>
  </si>
  <si>
    <t>Alcance externo</t>
  </si>
  <si>
    <t>Falta de enmascaramiento del número de tarjeta de crédito en funcionalidad de Dashboard</t>
  </si>
  <si>
    <t>12.Pruebas de Penetración a Superficies de Ataque
Externas e Internas de Banco BHD Panamá</t>
  </si>
  <si>
    <t>Backend portal BHD</t>
  </si>
  <si>
    <t>Documentación del API Para el Sitio Web backend.bhd.com.do Expuesta</t>
  </si>
  <si>
    <t>&gt;No exponer documentación de servicios críticos hacia internet.
&gt;Compartimentaliza el sistema para tener áreas "seguras" donde se puedan definir claramente los límites de confianza. No permitas que los datos sensibles salgan del límite de confianza y siempre ten cuidado al interactuar con un compartimiento fuera del área segura.</t>
  </si>
  <si>
    <t>VULN_PE_CE_3</t>
  </si>
  <si>
    <t>Portal BHD</t>
  </si>
  <si>
    <t>Acceso no autorizado al listado de beneficiarios</t>
  </si>
  <si>
    <t>Directory</t>
  </si>
  <si>
    <t>IBE_MBE</t>
  </si>
  <si>
    <t>Bypass de Restricción de Sesiones Concurrentes para Evadir Límites de Acceso Simultáneo</t>
  </si>
  <si>
    <t>&gt;Asegúrese de hacer cumplir los límites de sesión a nivel de backend, donde el cliente no tenga interacción alguna.</t>
  </si>
  <si>
    <t>VULN_PE_CE_4</t>
  </si>
  <si>
    <t>Credenciales de prueba en código fuente - Panamá Mobile Token</t>
  </si>
  <si>
    <t>Divulgación de información en multiples formularios de la web bhdpanama.com</t>
  </si>
  <si>
    <t>Enumeración de Usuarios debido a Mensajes en la respuesta del Servidor</t>
  </si>
  <si>
    <t>Enumeración No Autenticada de usuarios en funcionalidad Olvidó Contraseñas Mobile</t>
  </si>
  <si>
    <t>Error en la Validación de Contraseña Permite Realizar Acciones No Autorizadas</t>
  </si>
  <si>
    <t xml:space="preserve">Boton de pago </t>
  </si>
  <si>
    <t>Divulgación de secreto del proveedor en token JWT</t>
  </si>
  <si>
    <t xml:space="preserve">Hemos concluido con el desarrollo del lado de las APIs, estamos en el proceso de despliegue. </t>
  </si>
  <si>
    <t>Por terminar 4/4/2025,
2 mayo,
7 Junio,
11 Julio</t>
  </si>
  <si>
    <t>VULN_PT_BP_9</t>
  </si>
  <si>
    <t>10.BHD -  Penetration Testing Boton de Pago</t>
  </si>
  <si>
    <t>Exposición de Archivos de Configuración en Aplicación Web bhdpanama.com/bhdibp</t>
  </si>
  <si>
    <r>
      <t>Falta de limite de consultas en la ruta /vuserver/a.php?cupon=</t>
    </r>
    <r>
      <rPr>
        <sz val="10"/>
        <color theme="1"/>
        <rFont val="Arial Unicode MS"/>
      </rPr>
      <t xml:space="preserve"> </t>
    </r>
  </si>
  <si>
    <t>R5. Debilidad en los procedimientos de aseguramientos de equipos</t>
  </si>
  <si>
    <t>Probabilidad de que vulnerabilidades conocidas sean aprovechadas por un atacante interno y/o externo que puede explotar o aprovechar mediante las siguientes técnicas/amenazas: (Exploit, Ataques de fuerza bruta, Secuestro de Sesión, Remote File inclusion, Denegación de Servicios, Inyección de código, Malware).</t>
  </si>
  <si>
    <t>Exposición de Archivos WSDL y BPEL sin Autenticación</t>
  </si>
  <si>
    <t>VULN_PP_SC_1</t>
  </si>
  <si>
    <t>Omisión del Token 2FA Debido a Funcionamiento Incorrecto</t>
  </si>
  <si>
    <t>&gt;Asegúrese de que usuarios que no completaron el flujo con un segundo factor, no puedan consumir los API end-points.</t>
  </si>
  <si>
    <t>VULN_PE_CE_5</t>
  </si>
  <si>
    <t>Remesas</t>
  </si>
  <si>
    <t>API corresponsales Remesas</t>
  </si>
  <si>
    <t>VULN_PP_ACR_8</t>
  </si>
  <si>
    <t xml:space="preserve">Falta de validación en flujo de confirmación de transacción </t>
  </si>
  <si>
    <t>Se inicio con el analisis, pero por temas de prioridad se tuvo que detener. Se esta planificando retomar las sesiones para el primer sprint de enero.</t>
  </si>
  <si>
    <t>Por iniciar el 5 de septiembre 2025</t>
  </si>
  <si>
    <t>VULN_PT_BP_2</t>
  </si>
  <si>
    <t>Inyección SQL en el campo “idBusiness”</t>
  </si>
  <si>
    <t xml:space="preserve">La segunda fase iniciara una vez se concluya con las pruebas de la fase </t>
  </si>
  <si>
    <t>Por terminar 4/4/2025,
16 mayo,
7 Junio,
11 Julio</t>
  </si>
  <si>
    <t>VULN_PT_BP_6</t>
  </si>
  <si>
    <t>Inyección SQL en múltiples rutas utilizando token JWT malformado</t>
  </si>
  <si>
    <t>VULN_PT_BP_5</t>
  </si>
  <si>
    <t>VULN_EA_CTCE_4</t>
  </si>
  <si>
    <t>Bypass de 2FA mediante explotación de funcionalidad Preguntas de Seguridad.</t>
  </si>
  <si>
    <t>&gt;Asegurese que el servidor sea el que maneje las respuestas a aceptar por parte del cliente.
&gt;Reemplazar las preguntas de seguridad con mecanismos robustos como OTPs</t>
  </si>
  <si>
    <t>VULN_PE_CE_6</t>
  </si>
  <si>
    <t>Permisos Inseguros en Carpetas Compartidas Exponen Información Sensible (Código Fuente, Archivos de Configuración, PII)</t>
  </si>
  <si>
    <t>Necesitamos acceso (credenciales) o que nos envíen capturas de pantalla.</t>
  </si>
  <si>
    <t>Transacciones arbitrarias a terceros a través de template de transacciones entre cuentas IBE Mobile</t>
  </si>
  <si>
    <t>&gt;Validar que la cuenta destino pertenece al usuario antes de registrar la transacción.
&gt;Agregar validación de keycard o Access Token para transacciones entre cuentas.</t>
  </si>
  <si>
    <t>VULN_PE_CE_7</t>
  </si>
  <si>
    <t>Falta de enmascaramiento en datos de tarjeta de crédito en funcionalidad estado de cuenta</t>
  </si>
  <si>
    <t>VULN_PE_CE_8</t>
  </si>
  <si>
    <t>Bypass de 2FA (Check-Token) en Mobile Banking Empresarial.</t>
  </si>
  <si>
    <t>&gt;Valide en backend y en la sesión usuario que el 2do Factor de Autenticación fue validado antes de proseguir los flujos autorizados.</t>
  </si>
  <si>
    <t>VULN_PE_CE_9</t>
  </si>
  <si>
    <t>Mobile App Preaporbacion comercial</t>
  </si>
  <si>
    <t>Acceso no autorizado a ofertas de usuarios</t>
  </si>
  <si>
    <t>R3. Debilidades en el control de acceso a la red y aplicaciones del Banco</t>
  </si>
  <si>
    <t xml:space="preserve">4. Riesgo de no contar con la Gestión adecuada a las aplicaciones BIA (accesos, perfilamientos, cambios, desaprovisionamiento de usuarios) </t>
  </si>
  <si>
    <t>VULN_IP_TPC_4</t>
  </si>
  <si>
    <t>9.BHD - Informe Penetration Testing Preaprobación Comercial</t>
  </si>
  <si>
    <t>https://api-ppd.bhdleon.com.do/bhd/api/v1/mkt/offers</t>
  </si>
  <si>
    <t>MBP</t>
  </si>
  <si>
    <t>Gitlab API Access Token Hard-Coded en el APK del Internet Banking Personal</t>
  </si>
  <si>
    <t>&gt;Remover dicho token de acceso de los archivos fuente de la aplicación o en su defecto, generar tokens a demanda.</t>
  </si>
  <si>
    <t>VULN_PE_PW_1</t>
  </si>
  <si>
    <t>5.Primera emulacion de adversario BHD_Portales Web</t>
  </si>
  <si>
    <t>VULN_EA_CTCE_11</t>
  </si>
  <si>
    <t>Promociones</t>
  </si>
  <si>
    <t>Exfiltración de PII y Compromiso de Cuentas de Usuario por Credenciales Fijas en JavaScript</t>
  </si>
  <si>
    <t>&gt;No codifique credenciales en recursos del lado del cliente, como el código javascript</t>
  </si>
  <si>
    <t>VULN_PE_PW_2</t>
  </si>
  <si>
    <t>VULN_PE_PW_3</t>
  </si>
  <si>
    <t>Credenciales débiles en WordPress de Promociones</t>
  </si>
  <si>
    <t>&gt;Implementar políticas de contraseñas seguras: Requerir contraseñas que tengan al menos 12 caracteres y que incluyan una combinación de letras mayúsculas, minúsculas, números y caracteres especiales.
&gt;Prohibir el uso de contraseñas comunes o que se encuentren en listas de contraseñas comprometidas.
&gt;Habilitar la autenticación de dos factores (2FA): Implementar 2FA para agregar una capa adicional de seguridad al proceso de inicio de sesión. Esto asegura que, incluso si las credenciales son comprometidas, los atacantes no podrán acceder sin la segunda forma de autenticación.</t>
  </si>
  <si>
    <t>VULN_PE_PW_4</t>
  </si>
  <si>
    <t>Acceso no autenticado al historial de transacciones mediante transaction-history</t>
  </si>
  <si>
    <t>VULN_IP_MBP_1</t>
  </si>
  <si>
    <t>7.BHD - Informe Penetration Testing Mobile Banking Personal 1</t>
  </si>
  <si>
    <t>Infra/Active Directory</t>
  </si>
  <si>
    <t>Extracción de credenciales de cuenta de sincronizacion con Azure AD</t>
  </si>
  <si>
    <t>VULN_PE_AD_1</t>
  </si>
  <si>
    <t>1.Primera emulacion de adversario BHD_Active Directory</t>
  </si>
  <si>
    <t>Suplantación de usuario mediante manipulación de token JWT</t>
  </si>
  <si>
    <t>VULN_PT_BP_1</t>
  </si>
  <si>
    <t>SMB Remote Windows Kernel Pool Corruption (MS17-010)</t>
  </si>
  <si>
    <t>&gt;Aplicar inmediatamente el parche de seguridad MS17-010 en todos los sistemas afectados.
&gt;Deshabilitar el protocolo SMBv1 en todos los servidores y estaciones de trabajo, ya que es obsoleto y presenta múltiples riesgos de seguridad.
&gt;Implementar segmentación de red y controles de acceso para limitar el alcance de posibles ataques a servicios SMB.</t>
  </si>
  <si>
    <t>VULN_PA_VCC_1</t>
  </si>
  <si>
    <t>Puesto de bolsa</t>
  </si>
  <si>
    <t>Wordpress</t>
  </si>
  <si>
    <t>Divulgación de Información en Wordpress a Través de Archivo error_log</t>
  </si>
  <si>
    <t>&gt;Compartmentaliza el sistema para tener áreas "seguras" donde se puedan definir claramente los límites de confianza. No permitas que los datos sensibles salgan del límite de confianza y siempre ten cuidado al interactuar con un compartimiento fuera del área segura.</t>
  </si>
  <si>
    <t>VULN_PE_PW_5</t>
  </si>
  <si>
    <t>IBP/IBE</t>
  </si>
  <si>
    <t>VULN_EA_CTCE_5</t>
  </si>
  <si>
    <t>Web</t>
  </si>
  <si>
    <t>Enumeración de usuarios de WordPress en portal de promociones.</t>
  </si>
  <si>
    <t>&gt;Se deben redirigir los URL de la páginas de autor a una página de error 404.</t>
  </si>
  <si>
    <t>VULN_PE_PW_6</t>
  </si>
  <si>
    <t>Evasión de proceso de Onboarding y Autenticación de Dos Factores (2FA)</t>
  </si>
  <si>
    <t>VULN_PP_ACR_7</t>
  </si>
  <si>
    <t>VULN_PP_ACR_6</t>
  </si>
  <si>
    <t>Infra_Active Directory</t>
  </si>
  <si>
    <t>Credenciales en Texto Plano Almacenadas en Archivo de políticas .pol (Personal)</t>
  </si>
  <si>
    <t>&gt;Utilice la herramienta AutoLogon de Sysinternals, la cual permite configurar el inicio de sesión automático de manera segura sin almacenar las credenciales en texto plano.</t>
  </si>
  <si>
    <t>VULN_PE_AD_10</t>
  </si>
  <si>
    <t>Crear cuentas de maquina aprovechando atributo ms-DSMachineAccountQuota</t>
  </si>
  <si>
    <t>&gt;Configure el valor del atributo ms-DS-MachineAccountQuota en 0. Usuarios miembros de los grupos Administrators o Domain Administrators,y aquellos usuarios que han delegado permisos en contenedores en Active Directory para crear y eliminar cuentas de computadora, no están restringidos por esta limitación.</t>
  </si>
  <si>
    <t>VULN_PE_AD_11</t>
  </si>
  <si>
    <t>Protección Anti Emulación/Virtualización insuficiente</t>
  </si>
  <si>
    <t>BHD - Pentest Móvil MBE</t>
  </si>
  <si>
    <t>MBE Android</t>
  </si>
  <si>
    <t>Se volvio a pasar a vulnerable luego de recibirse el 21 de abril 25 debido a un cambio de instancia que salio vulnerable. Cambio de fecha de recepcion a febrero 5 2026 probando pegasus remesas. Luego de un segundo retest el 10 de febrero 26 pasa a corregido</t>
  </si>
  <si>
    <t>VULN_PP_ACR_5</t>
  </si>
  <si>
    <t xml:space="preserve">Inyección SQL basada en tiempo y condicionales booleanas en parámetro orderNumber en la funcionalidad de consulta de remesas </t>
  </si>
  <si>
    <t>VULN_PP_ACR_4</t>
  </si>
  <si>
    <t>Escalamiento de privilegios a Domain Admin</t>
  </si>
  <si>
    <t>VULN_PE_AD_2</t>
  </si>
  <si>
    <t>VULN_PP_ACR_3</t>
  </si>
  <si>
    <t xml:space="preserve">Uso ilimitado de access token dentro del scope_at permite creación y eliminación de remesas sin restricción </t>
  </si>
  <si>
    <t>VULN_PP_ACR_2</t>
  </si>
  <si>
    <t>Protección Anti Ingeniería Inversa (Ofuscación) insuficiente</t>
  </si>
  <si>
    <t xml:space="preserve">Falta de la confidencialidad </t>
  </si>
  <si>
    <t>MBE Android y Ios</t>
  </si>
  <si>
    <t xml:space="preserve">Validación insuficiente en proceso de firma de certificados digitales (CSR) </t>
  </si>
  <si>
    <t>VULN_PP_ACR_1</t>
  </si>
  <si>
    <t>Protección Anti Jailbreak insuficiente</t>
  </si>
  <si>
    <t>Falta de seguridad en dispositivo</t>
  </si>
  <si>
    <t>MBE Ios</t>
  </si>
  <si>
    <t>Acceso a múltiples equipos UPS Schneider Electric Network Management Card AOS v7.0.4 vía credenciales por defecto</t>
  </si>
  <si>
    <t>Protección Anti Root insuficiente</t>
  </si>
  <si>
    <t xml:space="preserve">Protección SSL Pinning insuficiente </t>
  </si>
  <si>
    <t>Certificados SSL no confiables, generadores aleatorios predecibles, fuga de información, navegación de directorios</t>
  </si>
  <si>
    <t>Prueba de Penetración Interna</t>
  </si>
  <si>
    <t>SISAP</t>
  </si>
  <si>
    <t>Acceso no autorizado al contrato de préstamos utilizando número PCOM</t>
  </si>
  <si>
    <t>VULN_IP_TPC_6</t>
  </si>
  <si>
    <t>https://api-ppd.bhdleon.com.do/bhdleon/api/v1/personal/pega-self-service/assignments/</t>
  </si>
  <si>
    <t>dataservices.cfbhd.com/dataservices.bhd.com.do</t>
  </si>
  <si>
    <t>Configuraciones débiles en certificados SSL</t>
  </si>
  <si>
    <t>BHD - Evaluación de Aplicaciones Tableau</t>
  </si>
  <si>
    <t>Autoridad Certificadora (CA) susceptible a ataque ESC8: NTLM Relay to AD CS HTTP Endpoints</t>
  </si>
  <si>
    <t>&gt;Deshabilitar la autenticación NTLM en los endpoints de Active Directory Certificate Services (AD CS) que utilizan los servicios web de inscripción de certificados.
&gt;Implementa Extended Protection for Authentication (EPA) y habilita Signing Required para proteger los canales de autenticación.
&gt;Restringe el acceso a estos endpoints a usuarios y equipos autorizados mediante políticas de red y controles de acceso basados en roles.</t>
  </si>
  <si>
    <t>VULN_PE_AD_3</t>
  </si>
  <si>
    <t>Autoridad Certificadora (CA) susceptible a ataque ESC4: Vulnerable Certificate Template Access Control</t>
  </si>
  <si>
    <t>&gt;Remover los permisos excesivos que el grupo Domain Computers posee sobre la plantilla de certificados Radius.</t>
  </si>
  <si>
    <t>VULN_PE_AD_4</t>
  </si>
  <si>
    <t>Cookies sin atributo HttpOnly</t>
  </si>
  <si>
    <t>VULN_IP_TPC_3</t>
  </si>
  <si>
    <t>https://api-ppd.bhdleon.com.do/bhd/api/v2/personal/passive/saving-account/details</t>
  </si>
  <si>
    <t>Account Takeover por preguntas de seguridad predecibles</t>
  </si>
  <si>
    <t>&gt;Realice validaciones de identidad utilizando métodos alternativos como correo electrónico.
&gt;Envíe un correo electrónico al usuario para informarle que su contraseña ha sido restablecida (¡no envíe la contraseña en el correo electrónico!).
&gt;En caso de seguir utilizando preguntas de seguridad, utilice TextBox en lugar de ComboBox para eludir la enumeración por discrepancia.</t>
  </si>
  <si>
    <t>VULN_PP_SC_4</t>
  </si>
  <si>
    <t>Credenciales en el logcat del dispositivo</t>
  </si>
  <si>
    <t>VULN_IP_TPC_9</t>
  </si>
  <si>
    <t>com.artech.infocorp_bhd.bhd.dev</t>
  </si>
  <si>
    <t>Aplicación web expuesta a ataques Cross-Site Request Forgery (CSRF)</t>
  </si>
  <si>
    <t>&gt;Generar un token único y no predecible para cada sesión del usuario. Este token debe incluirse en cada solicitud que realice un cambio de estado o una acción sensible en el servidor.
&gt;Configurar las cookies de sesión con el atributo SameSite para que no se envíen en solicitudes de sitios cruzados.</t>
  </si>
  <si>
    <t>A fin de validar el hallazgo requerimos credenciales, las que nos suministraron no se encuentran funcionales (Password incorrect</t>
  </si>
  <si>
    <t>VULN_PP_SC_8</t>
  </si>
  <si>
    <t xml:space="preserve">Ausencia de rate limit en funcionalidades de envío de correos electrónicos </t>
  </si>
  <si>
    <t>Divulgación de información de la base de datos a través del endpoint /empresas/pago</t>
  </si>
  <si>
    <t>VULN_PT_BP_11</t>
  </si>
  <si>
    <t>VULN_EA_CTCE_1</t>
  </si>
  <si>
    <t>Divulgación de información en el endpoint/clientes/empresas/listado de API</t>
  </si>
  <si>
    <t>VULN_PT_BP_4</t>
  </si>
  <si>
    <t>Asignación No Autorizada de Cuentas para Pago de Préstamos</t>
  </si>
  <si>
    <t>VULN_IP_TPC_2</t>
  </si>
  <si>
    <t>https://api-ppd.bhdleon.com.do/bhdleon/api/v1/personal/pega-self-service/cases</t>
  </si>
  <si>
    <r>
      <t>Divulgación de información en recursos compartidos NFS exportados para todos en la red (Everyone).</t>
    </r>
    <r>
      <rPr>
        <b/>
        <sz val="11"/>
        <color theme="1"/>
        <rFont val="Aptos"/>
        <family val="2"/>
      </rPr>
      <t> </t>
    </r>
  </si>
  <si>
    <t>Privilegios excesivos para grupo Domain Users</t>
  </si>
  <si>
    <t>&gt;Restringir los permisos de administrador local a cuentas específicas que realmente lo necesiten.
&gt;Aplicar medidas de seguridad adicionales para proteger las credenciales almacenadas, como el uso de LAPS o la segmentación adecuada de privilegios.
&gt;Aplicar principio del menor privilegio (PoLP).
&gt;Revisar y ajustar los privilegios del grupo Domain Users para evitar accesos innecesarios.</t>
  </si>
  <si>
    <t>VULN_PE_AD_5</t>
  </si>
  <si>
    <t>Exposición a Ataques Man-in-the-Middle por IPv6 No manejado en Active Directory</t>
  </si>
  <si>
    <t>&gt;Deshabilitar IPv6 en los sistemas que no lo utilicen activamente o no lo necesiten, y monitorear las redes para detectar anomalías en el tráfico.</t>
  </si>
  <si>
    <t>VULN_PE_AD_6</t>
  </si>
  <si>
    <t>Acceso no autorizado al saldo de cuentas de manera no autenticada mediante quick-access</t>
  </si>
  <si>
    <t>VULN_IP_MBP_10</t>
  </si>
  <si>
    <t>El servidor web remoto no está aplicando HSTS</t>
  </si>
  <si>
    <t>Divulgación de cédulas de manera no autorizada a través del endpoint feature_x0002_flags</t>
  </si>
  <si>
    <t>&gt;Devuelve solo los datos estrictamente necesarios en las respuestas de la API.
&gt;Asegúrese de que todas las solicitudes sean autenticadas usando métodos seguros y restringe los datos visibles en las respuestas dependiendo del rol del usuario.</t>
  </si>
  <si>
    <t>VULN_IP_MBP_11</t>
  </si>
  <si>
    <t>VULN_EA_CTCE_10</t>
  </si>
  <si>
    <t>Enumeración de usuarios por discrepancia observable víaa /v1/personal/login endpoint</t>
  </si>
  <si>
    <t>R2. Inadecuada protección de fuga de información</t>
  </si>
  <si>
    <t>5. Riesgo de no contar con protecciones que detecten salida de información no regular a nivel red y a nivel usuario final</t>
  </si>
  <si>
    <t>VULN_IP_TPC_7</t>
  </si>
  <si>
    <t>https://api-ppd.bhdleon.com.do/bhdleon/api/v1/personal/login</t>
  </si>
  <si>
    <t>Enumeracion de usuarios no autenticada debido a discrepancia observable</t>
  </si>
  <si>
    <t>&gt;Cambiar las respuestas de una forma tal que un atacante no tenga forma de identificar si un usuario existe o no.</t>
  </si>
  <si>
    <t>VULN_IP_MBP_12</t>
  </si>
  <si>
    <t>Enumeración de usuarios vía discrepancia observable a través de la funcionalidad generar_clave.pub</t>
  </si>
  <si>
    <t>&gt;Asegúrese de que los mensajes de error solo contengan detalles mínimos que sean útiles para el público objetivo y para nadie más.</t>
  </si>
  <si>
    <t>VULN_PP_SC_7</t>
  </si>
  <si>
    <t>Enumeración de usuarios vía discrepancia observable a través de la funcionalidad responder_preguntas_recuperacion.pub</t>
  </si>
  <si>
    <t>VULN_PP_SC_5</t>
  </si>
  <si>
    <t>Enumeración de usuarios vía discrepancia observable a través de método JSON-RPC</t>
  </si>
  <si>
    <t>VULN_PP_SC_6</t>
  </si>
  <si>
    <t>Omisión del token 2FA Keycard en cambios de información personal, opciones de seguridad y otras funcionalidades</t>
  </si>
  <si>
    <t>&gt;Aplicar esta validación del requerimiento de la tarjeta de claves a nivel de backend.</t>
  </si>
  <si>
    <t>VULN_IP_MBP_2</t>
  </si>
  <si>
    <t>VULN_IP_MBP_3</t>
  </si>
  <si>
    <t>Permisos excesivos para grupo Everyone</t>
  </si>
  <si>
    <t>&gt;Revisar y ajustar los permisos del grupo Everyone para evitar accesos innecesarios.
&gt;Aplicar principio del menor privilegio (PoLP).</t>
  </si>
  <si>
    <t>VULN_PE_AD_7</t>
  </si>
  <si>
    <t>Smb signing deshabilitado en controladores de dominio</t>
  </si>
  <si>
    <t>&gt;Configurar y enforzar SMB Signing</t>
  </si>
  <si>
    <t>VULN_PE_AD_8</t>
  </si>
  <si>
    <t>LDAP signing no enforzado</t>
  </si>
  <si>
    <t>&gt;Habilitar y enforzar LDAP signing</t>
  </si>
  <si>
    <t>VULN_PE_AD_9</t>
  </si>
  <si>
    <t>Infra_DevOps</t>
  </si>
  <si>
    <t>Exposición de Credenciales en Texto Plano en Archivos .config</t>
  </si>
  <si>
    <t>&gt;La información sensible dentro de los archivos .config debe ser cifrada utilizando mecanismos como Data Protection API (DPAPI) o aspnet_regiis.
&gt;Archivos de configuración y otro tipo de data sensible, debe ser colocada dentro del archivo .gitignore y así evitar ser subidos al repositorio.</t>
  </si>
  <si>
    <t>Yeudis Guzman</t>
  </si>
  <si>
    <t>Primera emulacion de adversario BHD_DevOps</t>
  </si>
  <si>
    <t>ATM</t>
  </si>
  <si>
    <t>Acceso Remoto a ATMs</t>
  </si>
  <si>
    <t>Primera emulacion de adversario BHD_Politicas de passwords insegura</t>
  </si>
  <si>
    <t>ATMs</t>
  </si>
  <si>
    <t>Indirect Object Reference (IDOR) Permite Acceso Arbitrario a crear reportes de Tarjetas de créditos</t>
  </si>
  <si>
    <t>&gt;Asegúrese de que las peticiones a productos y servicios realizadas por el cliente, pertenezcan al mismo.</t>
  </si>
  <si>
    <t>VULN_IP_MBP_4</t>
  </si>
  <si>
    <t>UPS Electric Galaxy 3500</t>
  </si>
  <si>
    <t>Uso de credenciales administrativas por defecto en Schneider Electric Galaxy 3500</t>
  </si>
  <si>
    <t>&gt;Cambiar las credenciales por defecto por contraseñas robustas que contengan caracteres especiales y sean difíciles de adivinar.
&gt;Implementar políticas de contraseñas robustas y autenticación multifactor para acceder a los sistemas de administración</t>
  </si>
  <si>
    <t>Infra_Passwords Default o Reutilizado</t>
  </si>
  <si>
    <t>Portal de DevOps expone contrasena para acceso a recursos en Azure DevOps</t>
  </si>
  <si>
    <t>&gt;Remover dicha ruta en la API, es una muy mala práctica de seguridad el otorgar estas credenciales a los clientes de la página, pasar toda esta funcionalidad al backend.</t>
  </si>
  <si>
    <t>Divulgación de información en código javascript del portal de DevOps</t>
  </si>
  <si>
    <t>Error en la Lógica de Negocio debido a exceso en el límite de préstamo</t>
  </si>
  <si>
    <t>VULN_IP_TPC_8</t>
  </si>
  <si>
    <t>Exposición del Número Completo de Tarjeta de Crédito a través del Endpoint /personas/productos</t>
  </si>
  <si>
    <t>Riesgo Critico PCI DSS</t>
  </si>
  <si>
    <t>VULN_PT_BP_13</t>
  </si>
  <si>
    <t>VULN_EA_CTCE_8</t>
  </si>
  <si>
    <t>Falta de encabezado HSTS</t>
  </si>
  <si>
    <t>Indirect Object Reference (IDOR) Permite Acceso Arbitrario a detalles de Tarjetas de créditos</t>
  </si>
  <si>
    <t>VULN_IP_MBP_5</t>
  </si>
  <si>
    <t>Indirect Object Reference (IDOR) Permite Acceso Arbitrario a números de Tarjetas de créditos</t>
  </si>
  <si>
    <t>VULN_IP_MBP_6</t>
  </si>
  <si>
    <t>&gt;Implementar enmascaramiento de datos: Asegurar que todos los números de tarjeta de crédito mostrados en las interfaces de usuario estén enmascarados, mostrando solo los primeros y últimos cuatro dígitos, conforme al estándar PCI DSS.
&gt;Implementar tokenización para reemplazar los números de tarjeta expuestos por identificadores únicos y aleatorios (tokens).</t>
  </si>
  <si>
    <t>VULN_IP_MBP_7</t>
  </si>
  <si>
    <t>Bypass de Check-Token en IBE Mobile</t>
  </si>
  <si>
    <t>Primera emulacion de adversario BHD</t>
  </si>
  <si>
    <t>Falta de autenticación en OsmoAutenticador</t>
  </si>
  <si>
    <t>VULN_PP_SC_3</t>
  </si>
  <si>
    <t>Falta de Protección contra Replay Attacks</t>
  </si>
  <si>
    <t>VULN_PT_BP_7</t>
  </si>
  <si>
    <t>Acceso no autorizado al historial de transacciones a través de funcionalidad transaction-history</t>
  </si>
  <si>
    <t>VULN_IP_MBP_8</t>
  </si>
  <si>
    <t>Falta de validación del lado del servidor para la tasa de interés de préstamos</t>
  </si>
  <si>
    <t>R8. Debilidades en el desarrollo de Software</t>
  </si>
  <si>
    <t>2. Riesgo de no contar con una metodología de código seguro en el desarrollo de aplicaciones,</t>
  </si>
  <si>
    <t>VULN_IP_TPC_1</t>
  </si>
  <si>
    <t>Escritorio Remoto CFBHD_Añejamiento</t>
  </si>
  <si>
    <t>Inadecuada protección de fuga de Información</t>
  </si>
  <si>
    <t>Kelvin Garcia</t>
  </si>
  <si>
    <t>Enumeración de usuarios vía discrepancia observable a través de funcionalidad login</t>
  </si>
  <si>
    <t>&gt;Asegúrese de que los mensajes por parte del servidor sean genéricos sin importar si el usuario existe o no. Proveer detalles mínimos que sean útiles para el público objetivo y para nadie más.</t>
  </si>
  <si>
    <t>VULN_IP_MBP_9</t>
  </si>
  <si>
    <t>UPS Power Logic</t>
  </si>
  <si>
    <t>Uso de credenciales administrativas por defecto en UPS Powerlogic PM8000</t>
  </si>
  <si>
    <t>&gt;Cambiar las credenciales por defecto de la impresora y de cualquier otro dispositivo de red.
&gt;Implementar políticas de contraseñas robustas y autenticación multifactor para acceder a los sistemas de administración.</t>
  </si>
  <si>
    <r>
      <t>Manejo inadecuado de excepciones y consumo descontrolado de recursos en Apache Tomcat.</t>
    </r>
    <r>
      <rPr>
        <b/>
        <sz val="11"/>
        <color theme="1"/>
        <rFont val="Aptos"/>
        <family val="2"/>
      </rPr>
      <t> </t>
    </r>
  </si>
  <si>
    <t>Acceso a Base de Datos de Domiciliación: Contraseñas SFTP, Siebel, Tarjetas, CardNET, Datos de Clientes, Tarjetas de Crédito.</t>
  </si>
  <si>
    <t>TDC</t>
  </si>
  <si>
    <t>VULN_EA_CTCE_3</t>
  </si>
  <si>
    <t>Bases de datos de KeePass + Claves en texto claro en directorio compartido</t>
  </si>
  <si>
    <t>WEB</t>
  </si>
  <si>
    <t>Aplicación vulnerable a Clickjacking</t>
  </si>
  <si>
    <t>BHD - Prueba de Penetración Web - Pagadores de Remesas</t>
  </si>
  <si>
    <t>Password Spraying debido a restricción inadecuada  de intentos de autenticación excesivos</t>
  </si>
  <si>
    <t>&gt;Configurar la aplicación para limitar el número de intentos de inicio de sesión fallidos permitidos por token obtenido.
&gt;Requerir que el usuario complete un CAPTCHA antes de permitir re-intentar de iniciar sesión.</t>
  </si>
  <si>
    <t>Solo se mando a probar en primera instancia en IBP</t>
  </si>
  <si>
    <t>VULN_PT_BP_12</t>
  </si>
  <si>
    <t>Dominio ATM</t>
  </si>
  <si>
    <t>Compromiso de domatm.local debido al reúso de credenciales</t>
  </si>
  <si>
    <t xml:space="preserve">Aplicación vulnerable a Enumeración de Usuarios </t>
  </si>
  <si>
    <t>Seguridad por Oscuridad en Uso de Encriptación Client-Side</t>
  </si>
  <si>
    <t>VULN_PT_BP_8</t>
  </si>
  <si>
    <t>Suplantación de usuario a través del endpoint /proveedores/ autenticacion</t>
  </si>
  <si>
    <t>VULN_PT_BP_10</t>
  </si>
  <si>
    <t>Ausencia de Headers de Seguridad</t>
  </si>
  <si>
    <t>Transacciones en cuentas arbitrarias en el Endpoint de Pago</t>
  </si>
  <si>
    <t>VULN_PT_BP_3</t>
  </si>
  <si>
    <t>Cabecera Strict-Transport-Security Header (HSTS) no configurada</t>
  </si>
  <si>
    <t>Mobile App API (api-sqa-bhdleon.com.do/bhdleon/api/v1/personal/pega-self-service</t>
  </si>
  <si>
    <t>Unauthorized account transactions via "/thirdpartybhdleon/acounts/transfer" API endpoint</t>
  </si>
  <si>
    <t>BHD - Certificate Onboarding Certificados Financieros 2</t>
  </si>
  <si>
    <t>F2TC</t>
  </si>
  <si>
    <t>Impresoras RICOH</t>
  </si>
  <si>
    <t>Credenciales por defecto en impresora RICOH</t>
  </si>
  <si>
    <t>Red BHD</t>
  </si>
  <si>
    <t>Cookies con propiedades faltantes</t>
  </si>
  <si>
    <t xml:space="preserve">Validar igualdad entre débitos y créditos en las transacciones </t>
  </si>
  <si>
    <t>Para Re Test</t>
  </si>
  <si>
    <t>Generacion/Consulta codigo QR</t>
  </si>
  <si>
    <t>Protocolos de comunicación no segura, servidores no encriptados, creación de archivos temporales no seguros</t>
  </si>
  <si>
    <t>IBM StorWize v5000</t>
  </si>
  <si>
    <t>IBM Storwize v5000 Service Assistant Tool configurado con credenciales por defecto</t>
  </si>
  <si>
    <t>&gt;Cambiar las credenciales por defecto y aplicar contraseñas seguras.
&gt;Implementar políticas de contraseñas robustas y autenticación multifactor para acceder a los sistemas de administración.</t>
  </si>
  <si>
    <t>Robo de hash Net-Ntlmv2 de la Cuenta de Máquina a través de Stored Procedure xp_dirtree</t>
  </si>
  <si>
    <t>Nilson Moya</t>
  </si>
  <si>
    <t>Dell Unisphere</t>
  </si>
  <si>
    <t>Múltiples instancias de DELL EMC Unisphere for PowerMax con credenciales por defecto</t>
  </si>
  <si>
    <t>&gt;Cambiar las credenciales por defecto en todas las instancias de Unisphere for PowerMax.
&gt;Implementar políticas de contraseñas robustas y autenticación multifactor para acceder a los sistemas de administración.</t>
  </si>
  <si>
    <t>Alcance interno</t>
  </si>
  <si>
    <t>ACCESO NO AUTORIZADO A RESPALDO DE BASE DE DATOS EN RECURSO COMPARTIDO</t>
  </si>
  <si>
    <t>SSL pinning implemented within the application</t>
  </si>
  <si>
    <t>ALMACENAMIENTO INSEGURO DE CREDENCIALES EN TEXTO CLARO EN MÚLTIPLES BASES DE DATOS EN SQL SERVER</t>
  </si>
  <si>
    <t>The application's root detection mechanism is not present</t>
  </si>
  <si>
    <t>COMPROMISO DE CUENTAS DE DOMINIO Y SERVICIOS MSSQL POR EXPOSICIÓN DE CREDENCIALES EN ARCHIVOS DE CONFIGURACIÓN</t>
  </si>
  <si>
    <t>RiverBed SteelHead</t>
  </si>
  <si>
    <t>Uso de credenciales administrativas por defecto en Riverbed SteelHead</t>
  </si>
  <si>
    <t>&gt;Cambiar las credenciales por defecto por contraseñas robustas que contengan caracteres especiales y sean difíciles de adivinar.
&gt;Implementar políticas de contraseñas robustas y autenticación multifactor para acceder a los sistemas de administración.</t>
  </si>
  <si>
    <t>Versión de NGINX desactualizada</t>
  </si>
  <si>
    <t>Riesgo de explotacion de vulnerabilidades conocidas</t>
  </si>
  <si>
    <t>WEB IBE</t>
  </si>
  <si>
    <t>Múltiples sesiones activas de un usuario permitidas</t>
  </si>
  <si>
    <t>Alcance Interno</t>
  </si>
  <si>
    <t>EXPOSICIÓN DE ARCHIVO PHPINFO.PHP</t>
  </si>
  <si>
    <t>IMPRESORA HP SIN CREDENCIALES</t>
  </si>
  <si>
    <t>NTLM RELAY DEBIDO A FIRMA SMB NO APLICADA</t>
  </si>
  <si>
    <t>PERMISOS EXCESIVOS EN CARPETA COMPARTIDA PERMITE EJECUCION DE CÓDIGO</t>
  </si>
  <si>
    <t>PERMISOS INSEGUROS EN CARPETAS COMPARTIDAS EXPONEN INFORMACIÓN SENSIBLE (CÓDIGO FUENTE, ARCHIVOS DE CONFIGURACIÓN, PII)</t>
  </si>
  <si>
    <t>ROBO DE HASH NET-NTLMV2 DE LA CUENTA DE MÁQUINA A TRAVÉS DE STORED PROCEDURE XP_DIRTREE</t>
  </si>
  <si>
    <t>EXPOSICIÓN DE NÚMEROS DE TARJETAS DE CRÉDITO EN TEXTO CLARO Y DATOS SENSIBLES EN DIRECTORIO HOME</t>
  </si>
  <si>
    <t>Nombre descriptivo del ID de la sesión de usuarios</t>
  </si>
  <si>
    <t>Validación inadecuada de entrada de datos del usuario</t>
  </si>
  <si>
    <t>DIMSA</t>
  </si>
  <si>
    <t>Validar y filtrar la entrada de datos antes de ejecutar hacia la BD y en los formularios</t>
  </si>
  <si>
    <t>VULN_EA_PB_</t>
  </si>
  <si>
    <t>Centralizar la ejecución de la aplicación a través de un único servidor de Remote desktop, eliminando el share y ejecución en PC cliente. (Como mitigante)
Implementar el cifrado del tráfico con TLS hacia la BD
Implementar el Key Vault para administrar las credenciales de la BD</t>
  </si>
  <si>
    <t>Centralizar la ejecución de la aplicación a través de un único servidor de Remote desktop, eliminando el share y ejecución en PC cliente.(Como Correctivo)
Restringir acceso full control a carpeta (Completado)</t>
  </si>
  <si>
    <t>Centralizar la ejecución de la aplicación a través de un único servidor de Remote desktop, eliminando el share y ejecución en PC cliente. (Como mitigante)
Migrar la aplicación a una versión Web (Estimación experta 6 meses) TBD</t>
  </si>
  <si>
    <t>Centralizar la ejecución de la aplicación a través de un único servidor de Remote desktop, eliminando el share y ejecución en PC cliente. (Como mitigante)
Implementar cifrado del ejecutable
Migrar la aplicación a una versión Web (Estimación experta 6 meses) TBD</t>
  </si>
  <si>
    <t>Implementar el cifrado del tráfico con TLS hacia la BD</t>
  </si>
  <si>
    <t>Lumina</t>
  </si>
  <si>
    <t>Centralizar la ejecución de la aplicación a través de un único servidor de Remote desktop, eliminando el share y ejecución en PC cliente.
El proveedor indicó queda corregido con la versión 47. 
Están preparando la propuesta para ese upgrade.(TBD)</t>
  </si>
  <si>
    <t>Archivo de prueba de la infraestructura de Lumina, no implica riesgo de nuestro lado.</t>
  </si>
  <si>
    <t>Centralizar la ejecución de la aplicación a través de un único servidor de Remote desktop, eliminando el share y ejecución en PC cliente. (como mitigante)
El proveedor está evaluando, indicando que nos comparten los resultados en septiembre.</t>
  </si>
  <si>
    <t>Equipos de desarrollo, los accesos fueros restringidos y/o eliminados. (Completado)</t>
  </si>
  <si>
    <t>Ws Canales</t>
  </si>
  <si>
    <t>Implementar un control de acceso de ejecución por origen. (ACL)</t>
  </si>
  <si>
    <t>Centralizar la ejecución de la aplicación a través de un único servidor de Remote desktop, eliminando el share y ejecución en PC cliente.
El proveedor está evaluando y dimensionado (TBD)</t>
  </si>
  <si>
    <t>Portal de devops expone terminal de SQL a usuarios no autenticado</t>
  </si>
  <si>
    <t>&gt;Remover dicha funcionalidad, es una muy mala práctica de seguridad el implementar alguna funcionalidad en la que se interactúe directamente con la base de datos sin ningún mecanismo de autenticación ni ningún tipo de filtro, en caso de esto no ser factible al menos implementar control de acceso para esta funcionalidad, asegurarse que solo usuarios autenticados y con los roles apropiados puedan acceder a estas API para realizar consultas de SQL.</t>
  </si>
  <si>
    <t>Omisión del token 2fa debido a incorrecto funcionamiento</t>
  </si>
  <si>
    <t>Red LAN_Añejamiento</t>
  </si>
  <si>
    <t>Segmentación y Control de Acceso Lógico</t>
  </si>
  <si>
    <t>IBP_Añejamiento</t>
  </si>
  <si>
    <t>Política de contraseña débiles</t>
  </si>
  <si>
    <t>Acceso no autorizado a detalles de cuentas personales a través de parámetro contactId</t>
  </si>
  <si>
    <t>VULN_IP_TPC_5</t>
  </si>
  <si>
    <t>&gt;Implementar un mecanismo de control de ejecución más robusto que SRP, como AppLocker o Windows Defender Application Control (WDAC), permitiendo únicamente binarios firmados y aplicaciones expresamente autorizadas.
&gt;Eliminar reglas basadas en rutas amplias como C:\Windows y sustituirlas por reglas basadas en firmas digitales o hash, integradas con un proceso formal de gestión de cambios.
&gt;Monitorear y alertar actividades de ejecución no autorizada como indicador temprano de intentos de evasión o compromiso.</t>
  </si>
  <si>
    <t>Alteración de archivos operativos, la manipulación de transacciones o la afectación directa de la integridad del entorno SWIFT</t>
  </si>
  <si>
    <t>Continua vulnerable
Nota: Hay muchas formas de acceder el registry sin usar regedit.exe. Se permite ejecutar binarios no firmados.</t>
  </si>
  <si>
    <t>VULN_PMS_1</t>
  </si>
  <si>
    <t>SERTERPRD05
SERTERPRD06</t>
  </si>
  <si>
    <t>&gt;Restringir el acceso a servicios remotos como WinRM y SMB exclusivamente a equipos, cuentas y redes operativas autorizadas, conforme a un modelo de segmentación estricta.
&gt;Reforzar la aplicación obligatoria de MFA para cualquier tipo de acceso remoto, incluyendo ejecución remota mediante canales administrativos.
&gt;Implementar reglas de firewall host-based para minimizar la superficie de ataque de la estación segura y bloquear conexiones entrantes no requeridas.
&gt;Supervisar activamente intentos de acceso remoto, transferencia de archivos y creación de servicios como indicadores de posible actividad maliciosa.</t>
  </si>
  <si>
    <t>acceso no autorizado y compromete la seguridad esperada de las estaciones seguras de SWIFT</t>
  </si>
  <si>
    <t>VULN_PMS_2</t>
  </si>
  <si>
    <t>&gt;Cambiar el valor de KEYSTORE_PASSWORD por una contraseña robusta, siguiendo buenas prácticas (mínimo 12–16 caracteres, mezcla de mayúsculas, minúsculas, números y símbolos), generar un nuevo keystore y migrar los certificados/claves necesarios.</t>
  </si>
  <si>
    <t>Anyel Segura</t>
  </si>
  <si>
    <t>Confirmar con el proveedor si este valor es utilizado o si es un placeholder</t>
  </si>
  <si>
    <t>Cerrado: Debido a que esta entrada  esta bajo un licenciamiento que Banco no posee e igualmente "Password" es placeholder</t>
  </si>
  <si>
    <t>VULN_PMS_3</t>
  </si>
  <si>
    <t>&gt;Implementar segmentación estricta: Limitar el tráfico de salida exclusivamente a los sistemas SWIFT que requieren para su operación.
&gt;Configurar ACLs / Firewall Rules: Definir reglas explícitas que bloqueen cualquier conexión hacia otros dispositivos de la LAN no relacionados con el entorno SWIFT.</t>
  </si>
  <si>
    <t>VULN_PMS_4</t>
  </si>
  <si>
    <t>&gt;Configurar la protección LSA en las estaciones seguras de Swift</t>
  </si>
  <si>
    <t xml:space="preserve">Continua Vulnerable
Nota: en los activos afectados, no existe el valor RunAsPPL en la llave de registroHKLM\SYSTEM\CurrentControlSet\Control\Lsa </t>
  </si>
  <si>
    <t>VULN_PMS_5</t>
  </si>
  <si>
    <t>VEO</t>
  </si>
  <si>
    <t>&gt;Eliminar la emisión de tokens JWT en respuestas basadas únicamente en identificadores estáticos como el número de cédula.
&gt;Garantizar que los tokens tengan un contexto y alcance limitado a la función que autorizan.</t>
  </si>
  <si>
    <t>Se desestimo este hallazgo con evidencias de utilizacion del token que genera VEO en otros canales.</t>
  </si>
  <si>
    <t>Remesas-Pegasus</t>
  </si>
  <si>
    <t>Ausencia total de controles de seguridad y separación de privilegios en las aplicaciones por eludibilidad completa de la lógica</t>
  </si>
  <si>
    <t>&gt;Implementar un modelo robusto de autenticación y autorización independiente del cliente.
&gt;Aplicar controles de acceso y separación de privilegios a nivel de servidor y base de datos.
&gt;Evitar que la lógica de validación y control de operaciones resida exclusivamente en el cliente.</t>
  </si>
  <si>
    <t>VULN_PA_ARPEG_1</t>
  </si>
  <si>
    <t>Pruebas de Penetración a Aplicaciones de Remesas</t>
  </si>
  <si>
    <t>Almacenamiento inseguro de credenciales cifradas en el Registro de Windows</t>
  </si>
  <si>
    <t>&gt;Eliminar el almacenamiento de credenciales reutilizables en el Registro de Windows.
&gt;Implementar mecanismos seguros de gestión de secretos, como Windows DPAPI, Credential Manager o soluciones de vault dedicadas.
&gt;Minimizar la exposición de credenciales en memoria y evitar su desencriptación persistente en runtime.
&gt;Utilizar autenticación basada en roles, tokens o certificados cuando sea posible.</t>
  </si>
  <si>
    <t>VULN_PA_ARPEG_2</t>
  </si>
  <si>
    <t>Exposición de funcionalidades críticas por ausencia de autenticación en la aplicación PDPC</t>
  </si>
  <si>
    <t>&gt;Implementar mecanismos de autenticación robustos antes de permitir cualquier operación crítica.
&gt;Aplicar controles de autorización basados en roles para limitar las acciones según el perfil del usuario.
&gt;Registrar y monitorear actividades sensibles para detectar comportamientos anómalos.
&gt;Realizar una reevaluación de seguridad tras la implementación de los controles.</t>
  </si>
  <si>
    <t>VULN_PA_ARPEG_3</t>
  </si>
  <si>
    <t>Exposición de información sensible mediante consultas a la base de datos sin cifrar</t>
  </si>
  <si>
    <t>&gt;Habilitar y forzar el uso de TLS/SSL para todas las conexiones entre la aplicación y la base de datos, siguiendo la documentación oficial del proveedor de la base de datos.
&gt;Utilizar certificados digitales válidos y gestionarlos de forma segura, evitando certificados autofirmados en entornos productivos.
&gt;Configurar el cliente de conexión para rechazar explícitamente conexiones no cifradas.</t>
  </si>
  <si>
    <t>VULN_PA_ARPEG_4</t>
  </si>
  <si>
    <t>Denegación de servicio por mecanismo de exclusión basado en bloqueo persistente en base de datos</t>
  </si>
  <si>
    <t>&gt;Eliminar el uso de bloqueos persistentes basados en registros estáticos como mecanismo de exclusión.
&gt;Implementar control de concurrencia mediante transacciones y mecanismos de bloqueo adecuados a nivel de base de datos.
&gt;Gestionar la exclusión de instancias a nivel de aplicación mediante locks temporales o control de sesiones.
&gt;Asegurar la liberación automática de bloqueos ante fallos o terminación inesperada del proceso.
&gt;Incorporar validaciones de estado y recuperación automática para evitar dependencias de intervención manual.</t>
  </si>
  <si>
    <t>VULN_PA_ARPEG_5</t>
  </si>
  <si>
    <t>Denegación de servicio por procesamiento de comandos no autenticados en servicio TCP</t>
  </si>
  <si>
    <t>Implementar autenticación y autorización estricta para todos los comandos expuestos por el servicio TCP.
&gt;Restringir el uso de comandos administrativos como REFRESH a contextos y usuarios explícitamente autorizados.
&gt;Incorporar controles de rate limiting y validación de frecuencia de comandos.
&gt;Registrar y monitorear intentos anómalos de uso del servicio para detección temprana de abusos.
&gt;Evaluar el aislamiento del servicio en una red interna o mediante controles de acceso a nivel de firewall.</t>
  </si>
  <si>
    <t>VULN_PA_ARPEG_6</t>
  </si>
  <si>
    <t>Exposición de hashes de usuario debido a diseño inseguro en consultas a base de datos</t>
  </si>
  <si>
    <t>&gt;Modificar la lógica de consulta (Query): Se debe reestructurar la consulta SQL realizada a la base de datos Oracle. La aplicación nunca debe solicitar ni recibir el campo que contiene la contraseña o su hash. En su lugar, se debe utilizar un procedimiento almacenado o una consulta que simplemente valide las credenciales y devuelva un valor booleano (Verdadero/Falso) o un token de sesión, sin exponer los datos almacenados.
&gt;Actualizar el algoritmo de Hashing: Se debe migrar del algoritmo SHA-1 a estándares robustos y actuales diseñados específicamente para el almacenamiento de contraseñas, como Argon2, bcrypt o PBKDF2. Estos algoritmos son intencionalmente lentos, lo que dificulta enormemente los ataques de fuerza bruta.
&gt;Implementar el uso de "Salts": Asegurarse de que cada contraseña sea procesada con un "salt" (un valor aleatorio único añadido a la contraseña antes de generar el hash). Esto previene ataques basados en tablas precomputadas (Rainbow Tables).</t>
  </si>
  <si>
    <t>VULN_PA_ARPEG_7</t>
  </si>
  <si>
    <t>Ausencia total de mitigaciones de seguridad a nivel de binario en aplicaciones Delphi</t>
  </si>
  <si>
    <t>&gt;Recompilar las aplicaciones habilitando mitigaciones de seguridad soportadas por la plataforma.
&gt;Asegurar la activación de DEP y ASLR en todos los binarios.
&gt;Implementar SafeSEH y CFG cuando la versión del compilador lo permita.
&gt;Definir lineamientos de compilación segura como parte del ciclo de desarrollo.
&gt;Validar la correcta aplicación de las mitigaciones mediante pruebas de seguridad posteriores.</t>
  </si>
  <si>
    <t>VULN_PA_ARPEG_8</t>
  </si>
  <si>
    <t>Divulgación de credenciales mediante comando no autenticado en servicio TCP</t>
  </si>
  <si>
    <t>&gt;Eliminar la exposición de información sensible a través de comandos accesibles de forma no autenticada.
&gt;Implementar autenticación y autorización estricta para comandos administrativos.
&gt;Evitar el uso de algoritmos criptográficos obsoletos; migrar a funciones de hash robustas con salting y mecanismos de derivación de claves.
&gt;Minimizar la información retornada por servicios de red, aplicando el principio de mínima exposición.
&gt;Monitorear y registrar el uso de comandos administrativos para detección de actividades anómalas.</t>
  </si>
  <si>
    <t>VULN_PA_ARPEG_9</t>
  </si>
  <si>
    <t>Control de acceso roto mediante manipulación de configuración en el Registro de Windows</t>
  </si>
  <si>
    <t>&gt;Evitar el uso de configuraciones sensibles almacenadas en HKCU para decisiones de control de acceso.
&gt;Validar el branch autorizado del lado del servidor o contra una fuente confiable centralizada.
&gt;Implementar controles de autorización que vinculen explícitamente el branch accesible con la identidad y rol del usuario.
&gt;Proteger las configuraciones críticas mediante mecanismos de integridad o almacenamiento seguro.
&gt;Auditar y monitorear cambios en configuraciones que impacten el alcance funcional de las aplicaciones.</t>
  </si>
  <si>
    <t>VULN_PA_ARPEG_10</t>
  </si>
  <si>
    <t>[PDPC] Manejo de rutas de archivos deficiente permite robo de hash NTLM</t>
  </si>
  <si>
    <t>&gt;Implementar validaciones de entrada que bloqueen patrones de rutas UNC (\\) antes de que sean procesadas por la aplicación, siguiendo buenas prácticas de input validation de OWASP.
&gt;Ejecutar la aplicación bajo el principio de privilegios mínimos para reducir el impacto del uso indebido de credenciales del sistema operativo.</t>
  </si>
  <si>
    <t>VULN_PA_ARPEG_11</t>
  </si>
  <si>
    <t>BHD IB</t>
  </si>
  <si>
    <t>Impedimento</t>
  </si>
  <si>
    <t>Fiduciaria</t>
  </si>
  <si>
    <t>2024</t>
  </si>
  <si>
    <t>2025</t>
  </si>
  <si>
    <t>2026</t>
  </si>
  <si>
    <t>&lt;1/11/2023</t>
  </si>
  <si>
    <t>2023</t>
  </si>
  <si>
    <t>Falta de validación en flujo de confirmación de transacción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</si>
</sst>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8"/>
      <name val="Calibri"/>
      <family val="2"/>
      <scheme val="minor"/>
    </font>
    <font>
      <b/>
      <sz val="11"/>
      <color theme="0"/>
      <name val="Calibri"/>
      <family val="2"/>
      <scheme val="minor"/>
    </font>
    <font>
      <sz val="11"/>
      <color rgb="FF000000"/>
      <name val="Calibri"/>
      <family val="2"/>
      <scheme val="minor"/>
    </font>
    <font>
      <sz val="11"/>
      <color theme="1"/>
      <name val="Aptos"/>
      <family val="2"/>
    </font>
    <font>
      <b/>
      <sz val="11"/>
      <color theme="1"/>
      <name val="Aptos"/>
      <family val="2"/>
    </font>
    <font>
      <sz val="10"/>
      <color theme="1"/>
      <name val="Arial Unicode MS"/>
    </font>
    <font>
      <sz val="18"/>
      <name val="Arial"/>
      <family val="2"/>
    </font>
    <font>
      <b/>
      <sz val="9"/>
      <color rgb="FF000000"/>
      <name val="Calibri"/>
      <family val="2"/>
    </font>
    <font>
      <b/>
      <sz val="16"/>
      <color theme="1"/>
      <name val="Calibri"/>
      <family val="2"/>
      <scheme val="minor"/>
    </font>
    <font>
      <sz val="9"/>
      <color indexed="81"/>
      <name val="Tahoma"/>
      <family val="2"/>
    </font>
    <font>
      <b/>
      <sz val="9"/>
      <color indexed="81"/>
      <name val="Tahoma"/>
      <family val="2"/>
    </font>
    <font>
      <b/>
      <sz val="11"/>
      <color theme="1"/>
      <name val="Calibri"/>
      <family val="2"/>
      <scheme val="minor"/>
    </font>
  </fonts>
  <fills count="11">
    <fill>
      <patternFill patternType="none"/>
    </fill>
    <fill>
      <patternFill patternType="gray125"/>
    </fill>
    <fill>
      <patternFill patternType="solid">
        <fgColor rgb="FFFFC000"/>
        <bgColor indexed="64"/>
      </patternFill>
    </fill>
    <fill>
      <patternFill patternType="solid">
        <fgColor theme="1"/>
        <bgColor theme="1"/>
      </patternFill>
    </fill>
    <fill>
      <patternFill patternType="solid">
        <fgColor theme="0" tint="-0.14999847407452621"/>
        <bgColor theme="0" tint="-0.14999847407452621"/>
      </patternFill>
    </fill>
    <fill>
      <patternFill patternType="solid">
        <fgColor rgb="FFFF0000"/>
        <bgColor indexed="64"/>
      </patternFill>
    </fill>
    <fill>
      <patternFill patternType="solid">
        <fgColor rgb="FFFFFF00"/>
        <bgColor indexed="64"/>
      </patternFill>
    </fill>
    <fill>
      <patternFill patternType="solid">
        <fgColor rgb="FFF2F2F2"/>
        <bgColor indexed="64"/>
      </patternFill>
    </fill>
    <fill>
      <patternFill patternType="solid">
        <fgColor rgb="FF00CC00"/>
        <bgColor indexed="64"/>
      </patternFill>
    </fill>
    <fill>
      <patternFill patternType="solid">
        <fgColor rgb="FFAC0000"/>
        <bgColor indexed="64"/>
      </patternFill>
    </fill>
    <fill>
      <patternFill patternType="solid">
        <fgColor theme="0" tint="-0.14999847407452621"/>
        <bgColor indexed="64"/>
      </patternFill>
    </fill>
  </fills>
  <borders count="12">
    <border>
      <left/>
      <right/>
      <top/>
      <bottom/>
      <diagonal/>
    </border>
    <border>
      <left/>
      <right/>
      <top style="thin">
        <color theme="8"/>
      </top>
      <bottom/>
      <diagonal/>
    </border>
    <border>
      <left/>
      <right/>
      <top style="thin">
        <color theme="8"/>
      </top>
      <bottom style="thin">
        <color theme="8"/>
      </bottom>
      <diagonal/>
    </border>
    <border>
      <left/>
      <right/>
      <top style="thin">
        <color theme="1"/>
      </top>
      <bottom/>
      <diagonal/>
    </border>
    <border>
      <left style="thin">
        <color rgb="FFFFFFFF"/>
      </left>
      <right style="thin">
        <color rgb="FFFFFFFF"/>
      </right>
      <top style="thin">
        <color rgb="FFFFFFFF"/>
      </top>
      <bottom style="thin">
        <color rgb="FFFFFFFF"/>
      </bottom>
      <diagonal/>
    </border>
    <border>
      <left/>
      <right style="thin">
        <color rgb="FFFFFFFF"/>
      </right>
      <top/>
      <bottom/>
      <diagonal/>
    </border>
    <border>
      <left/>
      <right/>
      <top style="thin">
        <color rgb="FFFFFFFF"/>
      </top>
      <bottom/>
      <diagonal/>
    </border>
    <border>
      <left/>
      <right/>
      <top/>
      <bottom style="thin">
        <color rgb="FFFFFFFF"/>
      </bottom>
      <diagonal/>
    </border>
    <border>
      <left style="thin">
        <color auto="1"/>
      </left>
      <right style="thin">
        <color auto="1"/>
      </right>
      <top style="thin">
        <color auto="1"/>
      </top>
      <bottom style="thin">
        <color auto="1"/>
      </bottom>
      <diagonal/>
    </border>
    <border>
      <left/>
      <right/>
      <top style="thin">
        <color theme="8"/>
      </top>
      <bottom style="thin">
        <color auto="1"/>
      </bottom>
      <diagonal/>
    </border>
    <border>
      <left/>
      <right/>
      <top style="thin">
        <color auto="1"/>
      </top>
      <bottom style="thin">
        <color auto="1"/>
      </bottom>
      <diagonal/>
    </border>
    <border>
      <left/>
      <right/>
      <top style="thin">
        <color auto="1"/>
      </top>
      <bottom/>
      <diagonal/>
    </border>
  </borders>
  <cellStyleXfs count="1">
    <xf numFmtId="0" fontId="0" fillId="0" borderId="0"/>
  </cellStyleXfs>
  <cellXfs count="49">
    <xf numFmtId="0" fontId="0" fillId="0" borderId="0" xfId="0"/>
    <xf numFmtId="0" fontId="0" fillId="0" borderId="1" xfId="0" applyBorder="1"/>
    <xf numFmtId="17" fontId="0" fillId="0" borderId="0" xfId="0" applyNumberFormat="1"/>
    <xf numFmtId="0" fontId="0" fillId="0" borderId="0" xfId="0" applyAlignment="1">
      <alignment wrapText="1"/>
    </xf>
    <xf numFmtId="0" fontId="0" fillId="4" borderId="3" xfId="0" applyFill="1" applyBorder="1"/>
    <xf numFmtId="0" fontId="0" fillId="0" borderId="3" xfId="0" applyBorder="1"/>
    <xf numFmtId="0" fontId="2" fillId="3" borderId="0" xfId="0" applyFont="1" applyFill="1"/>
    <xf numFmtId="0" fontId="4" fillId="0" borderId="1" xfId="0" applyFont="1" applyBorder="1" applyAlignment="1">
      <alignment vertical="center"/>
    </xf>
    <xf numFmtId="0" fontId="3" fillId="0" borderId="1" xfId="0" applyFont="1" applyBorder="1"/>
    <xf numFmtId="0" fontId="4" fillId="0" borderId="1" xfId="0" applyFont="1" applyBorder="1" applyAlignment="1">
      <alignment wrapText="1"/>
    </xf>
    <xf numFmtId="0" fontId="0" fillId="0" borderId="1" xfId="0" applyBorder="1" applyAlignment="1">
      <alignment wrapText="1"/>
    </xf>
    <xf numFmtId="15" fontId="0" fillId="0" borderId="1" xfId="0" applyNumberFormat="1" applyBorder="1"/>
    <xf numFmtId="0" fontId="0" fillId="0" borderId="2" xfId="0" applyBorder="1"/>
    <xf numFmtId="14" fontId="0" fillId="0" borderId="1" xfId="0" applyNumberFormat="1" applyBorder="1" applyAlignment="1">
      <alignment wrapText="1"/>
    </xf>
    <xf numFmtId="15" fontId="0" fillId="0" borderId="0" xfId="0" applyNumberFormat="1"/>
    <xf numFmtId="14" fontId="0" fillId="0" borderId="0" xfId="0" applyNumberFormat="1" applyAlignment="1">
      <alignment wrapText="1"/>
    </xf>
    <xf numFmtId="0" fontId="0" fillId="0" borderId="0" xfId="0" pivotButton="1"/>
    <xf numFmtId="0" fontId="0" fillId="0" borderId="0" xfId="0" applyAlignment="1">
      <alignment horizontal="left"/>
    </xf>
    <xf numFmtId="0" fontId="4" fillId="0" borderId="0" xfId="0" applyFont="1"/>
    <xf numFmtId="0" fontId="0" fillId="0" borderId="1" xfId="0" applyBorder="1" applyAlignment="1">
      <alignment vertical="center" wrapText="1"/>
    </xf>
    <xf numFmtId="0" fontId="0" fillId="0" borderId="0" xfId="0" applyAlignment="1">
      <alignment vertical="center" wrapText="1"/>
    </xf>
    <xf numFmtId="0" fontId="3" fillId="0" borderId="0" xfId="0" applyFont="1" applyAlignment="1">
      <alignment horizontal="left" vertical="top" wrapText="1"/>
    </xf>
    <xf numFmtId="0" fontId="3" fillId="0" borderId="0" xfId="0" applyFont="1" applyAlignment="1">
      <alignment horizontal="left" vertical="center" wrapText="1" readingOrder="1"/>
    </xf>
    <xf numFmtId="49" fontId="0" fillId="0" borderId="0" xfId="0" applyNumberFormat="1"/>
    <xf numFmtId="0" fontId="3" fillId="0" borderId="1" xfId="0" applyFont="1" applyBorder="1" applyAlignment="1">
      <alignment horizontal="left" vertical="center" readingOrder="1"/>
    </xf>
    <xf numFmtId="0" fontId="4" fillId="0" borderId="1" xfId="0" applyFont="1" applyBorder="1" applyAlignment="1">
      <alignment vertical="center" wrapText="1"/>
    </xf>
    <xf numFmtId="0" fontId="6" fillId="0" borderId="0" xfId="0" applyFont="1" applyAlignment="1">
      <alignment vertical="center"/>
    </xf>
    <xf numFmtId="0" fontId="0" fillId="2" borderId="0" xfId="0" applyFill="1"/>
    <xf numFmtId="0" fontId="3" fillId="0" borderId="0" xfId="0" applyFont="1"/>
    <xf numFmtId="0" fontId="0" fillId="0" borderId="0" xfId="0" applyAlignment="1">
      <alignment horizontal="left" indent="1"/>
    </xf>
    <xf numFmtId="0" fontId="7" fillId="6" borderId="4" xfId="0" applyFont="1" applyFill="1" applyBorder="1" applyAlignment="1">
      <alignment vertical="top" wrapText="1"/>
    </xf>
    <xf numFmtId="0" fontId="7" fillId="5" borderId="4" xfId="0" applyFont="1" applyFill="1" applyBorder="1" applyAlignment="1">
      <alignment vertical="top" wrapText="1"/>
    </xf>
    <xf numFmtId="0" fontId="7" fillId="8" borderId="4" xfId="0" applyFont="1" applyFill="1" applyBorder="1" applyAlignment="1">
      <alignment vertical="top" wrapText="1"/>
    </xf>
    <xf numFmtId="0" fontId="7" fillId="9" borderId="4" xfId="0" applyFont="1" applyFill="1" applyBorder="1" applyAlignment="1">
      <alignment vertical="top" wrapText="1"/>
    </xf>
    <xf numFmtId="0" fontId="12" fillId="0" borderId="0" xfId="0" applyFont="1" applyAlignment="1">
      <alignment horizontal="left"/>
    </xf>
    <xf numFmtId="0" fontId="0" fillId="0" borderId="0" xfId="0" pivotButton="1" applyAlignment="1">
      <alignment vertical="center"/>
    </xf>
    <xf numFmtId="0" fontId="0" fillId="0" borderId="0" xfId="0" applyAlignment="1">
      <alignment vertical="center"/>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14" fontId="0" fillId="0" borderId="0" xfId="0" applyNumberFormat="1" applyAlignment="1">
      <alignment horizontal="left" indent="2"/>
    </xf>
    <xf numFmtId="0" fontId="0" fillId="0" borderId="0" xfId="0" applyAlignment="1">
      <alignment horizontal="left" indent="3"/>
    </xf>
    <xf numFmtId="0" fontId="9" fillId="10" borderId="0" xfId="0" applyFont="1" applyFill="1" applyAlignment="1">
      <alignment horizontal="center" vertical="center" wrapText="1"/>
    </xf>
    <xf numFmtId="0" fontId="8" fillId="7" borderId="6" xfId="0" applyFont="1" applyFill="1" applyBorder="1" applyAlignment="1">
      <alignment horizontal="center" vertical="center" wrapText="1" readingOrder="1"/>
    </xf>
    <xf numFmtId="0" fontId="8" fillId="7" borderId="5" xfId="0" applyFont="1" applyFill="1" applyBorder="1" applyAlignment="1">
      <alignment horizontal="center" vertical="center" textRotation="90" wrapText="1" readingOrder="1"/>
    </xf>
    <xf numFmtId="0" fontId="9" fillId="10" borderId="7" xfId="0" applyFont="1" applyFill="1" applyBorder="1" applyAlignment="1">
      <alignment horizontal="center" vertical="center" wrapText="1"/>
    </xf>
    <xf numFmtId="0" fontId="0" fillId="0" borderId="0" xfId="0" applyNumberFormat="1"/>
    <xf numFmtId="0" fontId="0" fillId="0" borderId="0" xfId="0" applyNumberFormat="1" applyAlignment="1">
      <alignment horizontal="center"/>
    </xf>
  </cellXfs>
  <cellStyles count="1">
    <cellStyle name="Normal" xfId="0" builtinId="0"/>
  </cellStyles>
  <dxfs count="279">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ont>
        <b/>
      </font>
    </dxf>
    <dxf>
      <alignment horizontal="center"/>
    </dxf>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ont>
        <b/>
      </font>
    </dxf>
    <dxf>
      <alignment horizontal="center"/>
    </dxf>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ont>
        <b/>
      </font>
    </dxf>
    <dxf>
      <alignment horizontal="center"/>
    </dxf>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ont>
        <b/>
      </font>
    </dxf>
    <dxf>
      <alignment horizontal="center"/>
    </dxf>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ont>
        <b/>
      </font>
    </dxf>
    <dxf>
      <alignment horizontal="center"/>
    </dxf>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ont>
        <b/>
      </font>
    </dxf>
    <dxf>
      <alignment horizontal="center"/>
    </dxf>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ont>
        <b/>
      </font>
    </dxf>
    <dxf>
      <alignment horizontal="center"/>
    </dxf>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ont>
        <b/>
      </font>
    </dxf>
    <dxf>
      <alignment horizontal="center"/>
    </dxf>
    <dxf>
      <font>
        <b/>
      </font>
    </dxf>
    <dxf>
      <alignment horizontal="center"/>
    </dxf>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ont>
        <b/>
      </font>
    </dxf>
    <dxf>
      <alignment horizontal="center"/>
    </dxf>
    <dxf>
      <font>
        <b val="0"/>
      </font>
    </dxf>
    <dxf>
      <font>
        <b val="0"/>
      </font>
    </dxf>
    <dxf>
      <font>
        <b val="0"/>
      </font>
    </dxf>
    <dxf>
      <font>
        <b val="0"/>
      </font>
    </dxf>
    <dxf>
      <font>
        <b val="0"/>
      </font>
    </dxf>
    <dxf>
      <font>
        <b val="0"/>
      </font>
    </dxf>
    <dxf>
      <font>
        <b val="0"/>
      </font>
    </dxf>
    <dxf>
      <alignment horizontal="center"/>
    </dxf>
    <dxf>
      <alignment vertical="center"/>
    </dxf>
    <dxf>
      <alignment vertical="center"/>
    </dxf>
    <dxf>
      <alignment vertical="center"/>
    </dxf>
    <dxf>
      <alignment vertical="center"/>
    </dxf>
    <dxf>
      <alignment vertical="center"/>
    </dxf>
    <dxf>
      <alignment wrapText="0"/>
    </dxf>
    <dxf>
      <alignment vertical="center"/>
    </dxf>
    <dxf>
      <fill>
        <patternFill>
          <bgColor theme="4" tint="0.39994506668294322"/>
        </patternFill>
      </fill>
    </dxf>
    <dxf>
      <fill>
        <patternFill>
          <bgColor rgb="FF92D050"/>
        </patternFill>
      </fill>
    </dxf>
    <dxf>
      <fill>
        <patternFill>
          <bgColor rgb="FFFFFF00"/>
        </patternFill>
      </fill>
    </dxf>
    <dxf>
      <fill>
        <patternFill>
          <bgColor rgb="FFFF0000"/>
        </patternFill>
      </fill>
    </dxf>
    <dxf>
      <fill>
        <patternFill>
          <bgColor rgb="FFFFC000"/>
        </patternFill>
      </fill>
    </dxf>
    <dxf>
      <fill>
        <patternFill>
          <bgColor rgb="FFC00000"/>
        </patternFill>
      </fill>
    </dxf>
    <dxf>
      <fill>
        <patternFill>
          <bgColor rgb="FFFFC000"/>
        </patternFill>
      </fill>
    </dxf>
    <dxf>
      <fill>
        <patternFill>
          <bgColor rgb="FFFF0000"/>
        </patternFill>
      </fill>
    </dxf>
    <dxf>
      <fill>
        <patternFill>
          <bgColor rgb="FF00B0F0"/>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right/>
        <top style="thin">
          <color theme="1"/>
        </top>
        <bottom/>
        <vertical/>
        <horizontal/>
      </border>
    </dxf>
    <dxf>
      <border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i val="0"/>
        <strike val="0"/>
        <condense val="0"/>
        <extend val="0"/>
        <outline val="0"/>
        <shadow val="0"/>
        <u val="none"/>
        <vertAlign val="baseline"/>
        <sz val="11"/>
        <color theme="0"/>
        <name val="Calibri"/>
        <family val="2"/>
        <scheme val="minor"/>
      </font>
      <fill>
        <patternFill patternType="solid">
          <fgColor theme="1"/>
          <bgColor theme="1"/>
        </patternFill>
      </fill>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dxf>
    <dxf>
      <numFmt numFmtId="0" formatCode="General"/>
      <border diagonalUp="0" diagonalDown="0">
        <left/>
        <right/>
        <top style="thin">
          <color theme="8"/>
        </top>
        <bottom/>
        <vertical/>
        <horizontal/>
      </border>
    </dxf>
    <dxf>
      <numFmt numFmtId="20" formatCode="d\-mmm\-yy"/>
      <border diagonalUp="0" diagonalDown="0">
        <left/>
        <right/>
        <top style="thin">
          <color theme="8"/>
        </top>
        <bottom/>
        <vertical/>
        <horizontal/>
      </border>
    </dxf>
    <dxf>
      <numFmt numFmtId="0" formatCode="General"/>
      <alignment horizontal="general" vertical="bottom" textRotation="0" wrapText="1" indent="0" justifyLastLine="0" shrinkToFit="0" readingOrder="0"/>
      <border diagonalUp="0" diagonalDown="0">
        <left/>
        <right/>
        <top style="thin">
          <color theme="8"/>
        </top>
        <bottom/>
        <vertical/>
        <horizontal/>
      </border>
    </dxf>
    <dxf>
      <numFmt numFmtId="0" formatCode="General"/>
      <border diagonalUp="0" diagonalDown="0">
        <left/>
        <right/>
        <top style="thin">
          <color theme="8"/>
        </top>
        <bottom/>
        <vertical/>
        <horizontal/>
      </border>
    </dxf>
    <dxf>
      <numFmt numFmtId="0" formatCode="General"/>
      <border diagonalUp="0" diagonalDown="0">
        <left/>
        <right/>
        <top style="thin">
          <color theme="8"/>
        </top>
        <bottom/>
        <vertical/>
        <horizontal/>
      </border>
    </dxf>
    <dxf>
      <numFmt numFmtId="0" formatCode="General"/>
      <border diagonalUp="0" diagonalDown="0">
        <left/>
        <right/>
        <top style="thin">
          <color theme="8"/>
        </top>
        <bottom/>
        <vertical/>
        <horizontal/>
      </border>
    </dxf>
    <dxf>
      <alignment horizontal="general" vertical="bottom" textRotation="0" wrapText="1" indent="0" justifyLastLine="0" shrinkToFit="0" readingOrder="0"/>
      <border diagonalUp="0" diagonalDown="0">
        <left/>
        <right/>
        <top style="thin">
          <color theme="8"/>
        </top>
        <bottom/>
        <vertical/>
        <horizontal/>
      </border>
    </dxf>
    <dxf>
      <alignment horizontal="general" vertical="bottom" textRotation="0" wrapText="1" indent="0" justifyLastLine="0" shrinkToFit="0" readingOrder="0"/>
      <border diagonalUp="0" diagonalDown="0">
        <left/>
        <right/>
        <top style="thin">
          <color theme="8"/>
        </top>
        <bottom/>
        <vertical/>
        <horizontal/>
      </border>
    </dxf>
    <dxf>
      <alignment horizontal="general" vertical="bottom" textRotation="0" wrapText="1" indent="0" justifyLastLine="0" shrinkToFit="0" readingOrder="0"/>
      <border diagonalUp="0" diagonalDown="0">
        <left/>
        <right/>
        <top style="thin">
          <color theme="8"/>
        </top>
        <bottom/>
        <vertical/>
        <horizontal/>
      </border>
    </dxf>
    <dxf>
      <alignment horizontal="general" vertical="bottom" textRotation="0" wrapText="1" indent="0" justifyLastLine="0" shrinkToFit="0" readingOrder="0"/>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alignment horizontal="general" vertical="bottom" textRotation="0" wrapText="1" indent="0" justifyLastLine="0" shrinkToFit="0" readingOrder="0"/>
      <border diagonalUp="0" diagonalDown="0">
        <left/>
        <right/>
        <top style="thin">
          <color theme="8"/>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8"/>
        </top>
        <bottom/>
        <vertical/>
        <horizontal/>
      </border>
    </dxf>
    <dxf>
      <numFmt numFmtId="0" formatCode="General"/>
      <border diagonalUp="0" diagonalDown="0">
        <left/>
        <right/>
        <top style="thin">
          <color theme="8"/>
        </top>
        <bottom/>
        <vertical/>
        <horizontal/>
      </border>
    </dxf>
    <dxf>
      <border diagonalUp="0" diagonalDown="0">
        <left/>
        <right/>
        <top style="thin">
          <color theme="8"/>
        </top>
        <bottom/>
        <vertical/>
        <horizontal/>
      </border>
    </dxf>
    <dxf>
      <alignment horizontal="center"/>
    </dxf>
    <dxf>
      <font>
        <b/>
      </font>
    </dxf>
    <dxf>
      <alignment vertical="center"/>
    </dxf>
    <dxf>
      <alignment wrapText="0"/>
    </dxf>
    <dxf>
      <alignment vertical="center"/>
    </dxf>
    <dxf>
      <alignment vertical="center"/>
    </dxf>
    <dxf>
      <alignment vertical="center"/>
    </dxf>
    <dxf>
      <alignment vertical="center"/>
    </dxf>
    <dxf>
      <alignment vertical="center"/>
    </dxf>
    <dxf>
      <alignment horizontal="center"/>
    </dxf>
    <dxf>
      <font>
        <b val="0"/>
      </font>
    </dxf>
    <dxf>
      <font>
        <b val="0"/>
      </font>
    </dxf>
    <dxf>
      <font>
        <b val="0"/>
      </font>
    </dxf>
    <dxf>
      <font>
        <b val="0"/>
      </font>
    </dxf>
    <dxf>
      <font>
        <b val="0"/>
      </font>
    </dxf>
    <dxf>
      <font>
        <b val="0"/>
      </font>
    </dxf>
    <dxf>
      <font>
        <b val="0"/>
      </font>
    </dxf>
  </dxfs>
  <tableStyles count="0" defaultTableStyle="TableStyleMedium2" defaultPivotStyle="PivotStyleLight16"/>
  <colors>
    <mruColors>
      <color rgb="FFAC0000"/>
      <color rgb="FFE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sharedStrings" Target="sharedString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5" Type="http://schemas.openxmlformats.org/officeDocument/2006/relationships/externalLink" Target="externalLinks/externalLink1.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11/relationships/timelineCache" Target="timelineCaches/timeline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[BD Vulnerabilidades.xlsx]Resumen Vulnerabilidades!PivotTable11</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254000" sx="102000" sy="102000" algn="ctr" rotWithShape="0">
              <a:prstClr val="black">
                <a:alpha val="20000"/>
              </a:prstClr>
            </a:outerShdw>
          </a:effectLst>
        </c:spPr>
        <c:dLbl>
          <c:idx val="0"/>
          <c:layout>
            <c:manualLayout>
              <c:x val="0.14977974122463683"/>
              <c:y val="-6.137180975318867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AC0000"/>
          </a:solidFill>
          <a:ln>
            <a:noFill/>
          </a:ln>
          <a:effectLst>
            <a:outerShdw blurRad="254000" sx="102000" sy="102000" algn="ctr" rotWithShape="0">
              <a:prstClr val="black">
                <a:alpha val="20000"/>
              </a:prstClr>
            </a:outerShdw>
          </a:effectLst>
        </c:spPr>
        <c:dLbl>
          <c:idx val="0"/>
          <c:layout>
            <c:manualLayout>
              <c:x val="-0.18372981590222126"/>
              <c:y val="-9.410344162155596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0.20725792400730256"/>
              <c:y val="-3.273163186836729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7.2883168625024017E-2"/>
              <c:y val="-0.1554752513747446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2405853566592619"/>
              <c:y val="8.0853313731748446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'Resumen Vulnerabilidades'!$C$11</c:f>
              <c:strCache>
                <c:ptCount val="1"/>
                <c:pt idx="0">
                  <c:v>Total</c:v>
                </c:pt>
              </c:strCache>
            </c:strRef>
          </c:tx>
          <c:dPt>
            <c:idx val="0"/>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6BD-4BD3-96B4-526A72D1B257}"/>
              </c:ext>
            </c:extLst>
          </c:dPt>
          <c:dPt>
            <c:idx val="1"/>
            <c:bubble3D val="0"/>
            <c:spPr>
              <a:solidFill>
                <a:srgbClr val="AC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6BD-4BD3-96B4-526A72D1B257}"/>
              </c:ext>
            </c:extLst>
          </c:dPt>
          <c:dLbls>
            <c:dLbl>
              <c:idx val="0"/>
              <c:layout>
                <c:manualLayout>
                  <c:x val="0.14977974122463683"/>
                  <c:y val="-6.137180975318867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BD-4BD3-96B4-526A72D1B257}"/>
                </c:ext>
              </c:extLst>
            </c:dLbl>
            <c:dLbl>
              <c:idx val="1"/>
              <c:layout>
                <c:manualLayout>
                  <c:x val="-0.18372981590222126"/>
                  <c:y val="-9.410344162155596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BD-4BD3-96B4-526A72D1B25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'Resumen Vulnerabilidades'!$B$12:$B$14</c:f>
              <c:strCache>
                <c:ptCount val="2"/>
                <c:pt idx="0">
                  <c:v>Corregido</c:v>
                </c:pt>
                <c:pt idx="1">
                  <c:v>Vulnerable</c:v>
                </c:pt>
              </c:strCache>
            </c:strRef>
          </c:cat>
          <c:val>
            <c:numRef>
              <c:f>'Resumen Vulnerabilidades'!$C$12:$C$14</c:f>
              <c:numCache>
                <c:formatCode>General</c:formatCode>
                <c:ptCount val="2"/>
                <c:pt idx="0">
                  <c:v>32</c:v>
                </c:pt>
                <c:pt idx="1">
                  <c:v>45</c:v>
                </c:pt>
              </c:numCache>
            </c:numRef>
          </c:val>
          <c:extLst>
            <c:ext xmlns:c16="http://schemas.microsoft.com/office/drawing/2014/chart" uri="{C3380CC4-5D6E-409C-BE32-E72D297353CC}">
              <c16:uniqueId val="{00000007-7E05-4A87-8933-748BFA9E36A1}"/>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583267</xdr:colOff>
      <xdr:row>2</xdr:row>
      <xdr:rowOff>185456</xdr:rowOff>
    </xdr:from>
    <xdr:to>
      <xdr:col>14</xdr:col>
      <xdr:colOff>328333</xdr:colOff>
      <xdr:row>8</xdr:row>
      <xdr:rowOff>100853</xdr:rowOff>
    </xdr:to>
    <xdr:grpSp>
      <xdr:nvGrpSpPr>
        <xdr:cNvPr id="8" name="Group 7">
          <a:extLst>
            <a:ext uri="{FF2B5EF4-FFF2-40B4-BE49-F238E27FC236}">
              <a16:creationId xmlns:a16="http://schemas.microsoft.com/office/drawing/2014/main" id="{075B6B3A-018D-F827-BBCC-7020020B6722}"/>
            </a:ext>
          </a:extLst>
        </xdr:cNvPr>
        <xdr:cNvGrpSpPr/>
      </xdr:nvGrpSpPr>
      <xdr:grpSpPr>
        <a:xfrm>
          <a:off x="6012517" y="833156"/>
          <a:ext cx="3917016" cy="1687047"/>
          <a:chOff x="9799859" y="434994"/>
          <a:chExt cx="2997117" cy="1682898"/>
        </a:xfrm>
      </xdr:grpSpPr>
      <xdr:sp macro="" textlink="$R$256">
        <xdr:nvSpPr>
          <xdr:cNvPr id="4" name="TextBox 6">
            <a:extLst>
              <a:ext uri="{FF2B5EF4-FFF2-40B4-BE49-F238E27FC236}">
                <a16:creationId xmlns:a16="http://schemas.microsoft.com/office/drawing/2014/main" id="{A3BC4CFF-62ED-D7FF-EB6A-AA51E901B690}"/>
              </a:ext>
            </a:extLst>
          </xdr:cNvPr>
          <xdr:cNvSpPr txBox="1"/>
        </xdr:nvSpPr>
        <xdr:spPr>
          <a:xfrm>
            <a:off x="11506200" y="933450"/>
            <a:ext cx="453018" cy="361950"/>
          </a:xfrm>
          <a:prstGeom prst="rect">
            <a:avLst/>
          </a:prstGeom>
          <a:solidFill>
            <a:srgbClr val="E20000"/>
          </a:solidFill>
          <a:ln>
            <a:headEnd type="none" w="med" len="med"/>
            <a:tailEnd type="none" w="med" len="med"/>
          </a:ln>
          <a:effectLst>
            <a:outerShdw blurRad="50800" dist="38100" dir="2700000" algn="tl" rotWithShape="0">
              <a:prstClr val="black">
                <a:alpha val="4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algn="ctr"/>
            <a:fld id="{4C83A9A8-55EE-4317-805E-3457C208CBE2}" type="TxLink">
              <a:rPr lang="en-US" sz="1800" b="0" i="0" u="none" strike="noStrike" kern="1200">
                <a:solidFill>
                  <a:schemeClr val="bg1"/>
                </a:solidFill>
                <a:latin typeface="Calibri"/>
                <a:ea typeface="Calibri"/>
                <a:cs typeface="Calibri"/>
              </a:rPr>
              <a:pPr algn="ctr"/>
              <a:t>24</a:t>
            </a:fld>
            <a:endParaRPr lang="en-US" sz="3600" kern="1200">
              <a:solidFill>
                <a:schemeClr val="bg1"/>
              </a:solidFill>
            </a:endParaRPr>
          </a:p>
        </xdr:txBody>
      </xdr:sp>
      <xdr:sp macro="" textlink="$R$257">
        <xdr:nvSpPr>
          <xdr:cNvPr id="5" name="TextBox 7">
            <a:extLst>
              <a:ext uri="{FF2B5EF4-FFF2-40B4-BE49-F238E27FC236}">
                <a16:creationId xmlns:a16="http://schemas.microsoft.com/office/drawing/2014/main" id="{D66A099A-C1AE-9E82-410A-E9A82B558514}"/>
              </a:ext>
            </a:extLst>
          </xdr:cNvPr>
          <xdr:cNvSpPr txBox="1"/>
        </xdr:nvSpPr>
        <xdr:spPr>
          <a:xfrm>
            <a:off x="10651667" y="1395342"/>
            <a:ext cx="404830" cy="325774"/>
          </a:xfrm>
          <a:prstGeom prst="rect">
            <a:avLst/>
          </a:prstGeom>
          <a:solidFill>
            <a:srgbClr val="FFFF00"/>
          </a:solidFill>
          <a:ln>
            <a:headEnd type="none" w="med" len="med"/>
            <a:tailEnd type="none" w="med" len="med"/>
          </a:ln>
          <a:effectLst>
            <a:outerShdw blurRad="50800" dist="38100" dir="2700000" algn="tl" rotWithShape="0">
              <a:prstClr val="black">
                <a:alpha val="4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algn="ctr"/>
            <a:fld id="{40C380B9-826D-42C0-9D5E-43CF64CB48BD}" type="TxLink">
              <a:rPr lang="en-US" sz="1800" b="0" i="0" u="none" strike="noStrike" kern="1200">
                <a:solidFill>
                  <a:schemeClr val="bg1">
                    <a:lumMod val="65000"/>
                  </a:schemeClr>
                </a:solidFill>
                <a:latin typeface="Calibri"/>
                <a:ea typeface="Calibri"/>
                <a:cs typeface="Calibri"/>
              </a:rPr>
              <a:pPr algn="ctr"/>
              <a:t>35</a:t>
            </a:fld>
            <a:endParaRPr lang="en-US" sz="6000" kern="1200">
              <a:solidFill>
                <a:schemeClr val="bg1">
                  <a:lumMod val="65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R$258">
        <xdr:nvSpPr>
          <xdr:cNvPr id="6" name="TextBox 8">
            <a:extLst>
              <a:ext uri="{FF2B5EF4-FFF2-40B4-BE49-F238E27FC236}">
                <a16:creationId xmlns:a16="http://schemas.microsoft.com/office/drawing/2014/main" id="{3CF6E48B-B76F-7817-6C29-8537F789E201}"/>
              </a:ext>
            </a:extLst>
          </xdr:cNvPr>
          <xdr:cNvSpPr txBox="1"/>
        </xdr:nvSpPr>
        <xdr:spPr>
          <a:xfrm>
            <a:off x="9799859" y="1768339"/>
            <a:ext cx="412973" cy="349553"/>
          </a:xfrm>
          <a:prstGeom prst="rect">
            <a:avLst/>
          </a:prstGeom>
          <a:solidFill>
            <a:srgbClr val="00CC00"/>
          </a:solidFill>
          <a:ln>
            <a:headEnd type="none" w="med" len="med"/>
            <a:tailEnd type="none" w="med" len="med"/>
          </a:ln>
          <a:effectLst>
            <a:outerShdw blurRad="50800" dist="38100" dir="2700000" algn="tl" rotWithShape="0">
              <a:prstClr val="black">
                <a:alpha val="4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t"/>
          <a:lstStyle/>
          <a:p>
            <a:pPr algn="ctr"/>
            <a:fld id="{24AECC92-E583-4B74-8A04-30228E195B2D}" type="TxLink">
              <a:rPr lang="en-US" sz="1800" b="0" i="0" u="none" strike="noStrike" kern="1200">
                <a:solidFill>
                  <a:schemeClr val="bg1"/>
                </a:solidFill>
                <a:latin typeface="Calibri"/>
                <a:ea typeface="Calibri"/>
                <a:cs typeface="Calibri"/>
              </a:rPr>
              <a:pPr algn="ctr"/>
              <a:t>4</a:t>
            </a:fld>
            <a:endParaRPr lang="en-US" sz="6000" kern="12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sp macro="" textlink="$R$255">
        <xdr:nvSpPr>
          <xdr:cNvPr id="7" name="TextBox 6">
            <a:extLst>
              <a:ext uri="{FF2B5EF4-FFF2-40B4-BE49-F238E27FC236}">
                <a16:creationId xmlns:a16="http://schemas.microsoft.com/office/drawing/2014/main" id="{D12CC8F4-C61B-4551-B2FB-CE159531F6FC}"/>
              </a:ext>
            </a:extLst>
          </xdr:cNvPr>
          <xdr:cNvSpPr txBox="1"/>
        </xdr:nvSpPr>
        <xdr:spPr>
          <a:xfrm>
            <a:off x="12279809" y="434994"/>
            <a:ext cx="517167" cy="361950"/>
          </a:xfrm>
          <a:prstGeom prst="rect">
            <a:avLst/>
          </a:prstGeom>
          <a:solidFill>
            <a:srgbClr val="AC0000"/>
          </a:solidFill>
          <a:ln>
            <a:headEnd type="none" w="med" len="med"/>
            <a:tailEnd type="none" w="med" len="med"/>
          </a:ln>
          <a:effectLst>
            <a:outerShdw blurRad="50800" dist="38100" dir="2700000" algn="tl" rotWithShape="0">
              <a:prstClr val="black">
                <a:alpha val="40000"/>
              </a:prstClr>
            </a:outerShdw>
          </a:effectLst>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marL="0" indent="0" algn="ctr"/>
            <a:fld id="{922206EE-4F19-4E87-9936-B6867E2D23E0}" type="TxLink">
              <a:rPr lang="en-US" sz="2000" b="0" i="0" u="none" strike="noStrike" kern="1200">
                <a:solidFill>
                  <a:schemeClr val="bg1"/>
                </a:solidFill>
                <a:latin typeface="Aptos Narrow"/>
                <a:ea typeface="+mn-ea"/>
                <a:cs typeface="+mn-cs"/>
              </a:rPr>
              <a:pPr marL="0" indent="0" algn="ctr"/>
              <a:t>14</a:t>
            </a:fld>
            <a:endParaRPr lang="en-US" sz="2000" b="0" i="0" u="none" strike="noStrike" kern="1200">
              <a:solidFill>
                <a:schemeClr val="bg1"/>
              </a:solidFill>
              <a:latin typeface="Aptos Narrow"/>
              <a:ea typeface="+mn-ea"/>
              <a:cs typeface="+mn-cs"/>
            </a:endParaRPr>
          </a:p>
        </xdr:txBody>
      </xdr:sp>
    </xdr:grpSp>
    <xdr:clientData/>
  </xdr:twoCellAnchor>
  <xdr:twoCellAnchor>
    <xdr:from>
      <xdr:col>5</xdr:col>
      <xdr:colOff>33618</xdr:colOff>
      <xdr:row>11</xdr:row>
      <xdr:rowOff>123261</xdr:rowOff>
    </xdr:from>
    <xdr:to>
      <xdr:col>15</xdr:col>
      <xdr:colOff>44821</xdr:colOff>
      <xdr:row>27</xdr:row>
      <xdr:rowOff>100851</xdr:rowOff>
    </xdr:to>
    <xdr:graphicFrame macro="">
      <xdr:nvGraphicFramePr>
        <xdr:cNvPr id="12" name="Chart 11">
          <a:extLst>
            <a:ext uri="{FF2B5EF4-FFF2-40B4-BE49-F238E27FC236}">
              <a16:creationId xmlns:a16="http://schemas.microsoft.com/office/drawing/2014/main" id="{51FD21DC-7691-709F-E45B-B5B90C943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9606</xdr:colOff>
      <xdr:row>40</xdr:row>
      <xdr:rowOff>163365</xdr:rowOff>
    </xdr:from>
    <xdr:to>
      <xdr:col>3</xdr:col>
      <xdr:colOff>122668</xdr:colOff>
      <xdr:row>48</xdr:row>
      <xdr:rowOff>16680</xdr:rowOff>
    </xdr:to>
    <mc:AlternateContent xmlns:mc="http://schemas.openxmlformats.org/markup-compatibility/2006" xmlns:tsle="http://schemas.microsoft.com/office/drawing/2012/timeslicer">
      <mc:Choice Requires="tsle">
        <xdr:graphicFrame macro="">
          <xdr:nvGraphicFramePr>
            <xdr:cNvPr id="13" name="Fecha Hallazgo">
              <a:extLst>
                <a:ext uri="{FF2B5EF4-FFF2-40B4-BE49-F238E27FC236}">
                  <a16:creationId xmlns:a16="http://schemas.microsoft.com/office/drawing/2014/main" id="{D1A97997-98CA-8E07-E81F-11FA1339A24B}"/>
                </a:ext>
              </a:extLst>
            </xdr:cNvPr>
            <xdr:cNvGraphicFramePr/>
          </xdr:nvGraphicFramePr>
          <xdr:xfrm>
            <a:off x="0" y="0"/>
            <a:ext cx="0" cy="0"/>
          </xdr:xfrm>
          <a:graphic>
            <a:graphicData uri="http://schemas.microsoft.com/office/drawing/2012/timeslicer">
              <tsle:timeslicer name="Fecha Hallazgo"/>
            </a:graphicData>
          </a:graphic>
        </xdr:graphicFrame>
      </mc:Choice>
      <mc:Fallback xmlns="">
        <xdr:sp macro="" textlink="">
          <xdr:nvSpPr>
            <xdr:cNvPr id="0" name=""/>
            <xdr:cNvSpPr>
              <a:spLocks noTextEdit="1"/>
            </xdr:cNvSpPr>
          </xdr:nvSpPr>
          <xdr:spPr>
            <a:xfrm>
              <a:off x="621927" y="9008008"/>
              <a:ext cx="2539664"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258536</xdr:colOff>
      <xdr:row>27</xdr:row>
      <xdr:rowOff>163286</xdr:rowOff>
    </xdr:from>
    <xdr:to>
      <xdr:col>14</xdr:col>
      <xdr:colOff>668384</xdr:colOff>
      <xdr:row>41</xdr:row>
      <xdr:rowOff>20411</xdr:rowOff>
    </xdr:to>
    <mc:AlternateContent xmlns:mc="http://schemas.openxmlformats.org/markup-compatibility/2006" xmlns:a14="http://schemas.microsoft.com/office/drawing/2010/main">
      <mc:Choice Requires="a14">
        <xdr:graphicFrame macro="">
          <xdr:nvGraphicFramePr>
            <xdr:cNvPr id="14" name="Nombre informe de pentest">
              <a:extLst>
                <a:ext uri="{FF2B5EF4-FFF2-40B4-BE49-F238E27FC236}">
                  <a16:creationId xmlns:a16="http://schemas.microsoft.com/office/drawing/2014/main" id="{98D991DC-6279-71B8-9162-76A943F2F4EA}"/>
                </a:ext>
              </a:extLst>
            </xdr:cNvPr>
            <xdr:cNvGraphicFramePr/>
          </xdr:nvGraphicFramePr>
          <xdr:xfrm>
            <a:off x="0" y="0"/>
            <a:ext cx="0" cy="0"/>
          </xdr:xfrm>
          <a:graphic>
            <a:graphicData uri="http://schemas.microsoft.com/office/drawing/2010/slicer">
              <sle:slicer xmlns:sle="http://schemas.microsoft.com/office/drawing/2010/slicer" name="Nombre informe de pentest"/>
            </a:graphicData>
          </a:graphic>
        </xdr:graphicFrame>
      </mc:Choice>
      <mc:Fallback xmlns="">
        <xdr:sp macro="" textlink="">
          <xdr:nvSpPr>
            <xdr:cNvPr id="0" name=""/>
            <xdr:cNvSpPr>
              <a:spLocks noTextEdit="1"/>
            </xdr:cNvSpPr>
          </xdr:nvSpPr>
          <xdr:spPr>
            <a:xfrm>
              <a:off x="3986893" y="6531429"/>
              <a:ext cx="702128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hdleon.sharepoint.com/sites/CyberContCrisis-JM_JR_Cyber/Shared%20Documents/IR_Cyber/Documentos_JR_EH/Coleccion_Vulenrabilidades/Revalorizaci&#243;n_Riesgos.xlsx" TargetMode="External"/><Relationship Id="rId1" Type="http://schemas.openxmlformats.org/officeDocument/2006/relationships/externalLinkPath" Target="/sites/CyberContCrisis-JM_JR_Cyber/Shared%20Documents/IR_Cyber/Documentos_JR_EH/Coleccion_Vulenrabilidades/Revalorizaci&#243;n_Riesg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Gant-00"/>
      <sheetName val="Catalogo"/>
      <sheetName val="I+D"/>
      <sheetName val="Relación_Riesgos"/>
      <sheetName val="R1. Terceros y proveedores"/>
      <sheetName val="R2. Fuga de Información"/>
      <sheetName val="R3. Acceso a Red_APP"/>
      <sheetName val="R4. Gestión Cuentas Priv"/>
      <sheetName val="R5. DEbilidad hardening"/>
      <sheetName val="R6. Datos en Reposo"/>
      <sheetName val="R7. Monitoreo"/>
      <sheetName val="R8. Desarrollo "/>
      <sheetName val="R9. Ataques DDOS"/>
      <sheetName val="R10 Administrativos"/>
      <sheetName val="R11 Cambios"/>
      <sheetName val="R12 Respuesta Cyber"/>
      <sheetName val="R13 Recuperación"/>
      <sheetName val="Categorías"/>
      <sheetName val="Sheet2"/>
      <sheetName val="Data"/>
      <sheetName val="Tablas_SIB"/>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persons/person.xml><?xml version="1.0" encoding="utf-8"?>
<personList xmlns="http://schemas.microsoft.com/office/spreadsheetml/2018/threadedcomments" xmlns:x="http://schemas.openxmlformats.org/spreadsheetml/2006/main">
  <person displayName="EUDES HERNANDEZ, BHD" id="{9978A32B-4A78-4B6D-ABA2-C1DB2A0619B6}" userId="S::eudes_hernandez@bhd.com.do::a5ef9def-e6ac-4eca-a38a-946dcf1a074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FERNANDEZ, BHD" refreshedDate="46084.416808912036" createdVersion="8" refreshedVersion="8" minRefreshableVersion="3" recordCount="226" xr:uid="{88DB9491-EA88-448F-8AF1-EBAF161A8F3C}">
  <cacheSource type="worksheet">
    <worksheetSource ref="A1:V1048576" sheet="Consolidado"/>
  </cacheSource>
  <cacheFields count="25">
    <cacheField name="Fecha Hallazgo" numFmtId="0">
      <sharedItems containsNonDate="0" containsDate="1" containsString="0" containsBlank="1" minDate="2023-11-01T00:00:00" maxDate="2026-02-03T00:00:00" count="21">
        <d v="2024-09-23T00:00:00"/>
        <d v="2025-10-01T00:00:00"/>
        <d v="2025-01-25T00:00:00"/>
        <d v="2025-03-11T00:00:00"/>
        <d v="2024-03-01T00:00:00"/>
        <m/>
        <d v="2024-08-01T00:00:00"/>
        <d v="2024-11-01T00:00:00"/>
        <d v="2024-06-14T00:00:00"/>
        <d v="2025-04-01T00:00:00"/>
        <d v="2024-08-23T00:00:00"/>
        <d v="2024-12-01T00:00:00"/>
        <d v="2024-01-30T00:00:00"/>
        <d v="2024-03-13T00:00:00"/>
        <d v="2023-11-01T00:00:00"/>
        <d v="2024-02-01T00:00:00"/>
        <d v="2025-06-11T00:00:00"/>
        <d v="2025-07-01T00:00:00"/>
        <d v="2025-11-25T00:00:00"/>
        <d v="2025-12-25T00:00:00"/>
        <d v="2026-02-02T00:00:00"/>
      </sharedItems>
      <fieldGroup par="24"/>
    </cacheField>
    <cacheField name="Institucion" numFmtId="0">
      <sharedItems containsBlank="1"/>
    </cacheField>
    <cacheField name="Aplicacion" numFmtId="0">
      <sharedItems containsBlank="1" count="54">
        <m/>
        <s v="MBP_IBP"/>
        <s v="IBP"/>
        <s v="IBP_API-GW"/>
        <s v="IBP_IBE"/>
        <s v="TDC Notificaciones API_IBP/IBE"/>
        <s v="API GW"/>
        <s v="Active Directory"/>
        <s v="Protocolo Multicast DNS"/>
        <s v="NAC"/>
        <s v="MBE"/>
        <s v="Swift"/>
        <s v="https://serwebprd04.cfbhd.com/EstadosCuentaPeticion"/>
        <s v="Wifi"/>
        <s v="IBE"/>
        <s v="MBP_IBP_MBE_IBE"/>
        <s v="SIFI Cloud"/>
        <s v="Alcance externo"/>
        <s v="Backend portal BHD"/>
        <s v="IBE_MBE"/>
        <s v="Boton de pago "/>
        <s v="API corresponsales Remesas"/>
        <s v="Mobile App Preaporbacion comercial"/>
        <s v="MBP"/>
        <s v="Promociones"/>
        <s v="Infra/Active Directory"/>
        <s v="Wordpress"/>
        <s v="IBP/IBE"/>
        <s v="Web"/>
        <s v="Infra_Active Directory"/>
        <s v="BHD"/>
        <s v="dataservices.cfbhd.com/dataservices.bhd.com.do"/>
        <s v="Infra_DevOps"/>
        <s v="ATM"/>
        <s v="UPS Electric Galaxy 3500"/>
        <s v="Escritorio Remoto CFBHD_Añejamiento"/>
        <s v="UPS Power Logic"/>
        <s v="TDC"/>
        <s v="Dominio ATM"/>
        <s v="Mobile App API (api-sqa-bhdleon.com.do/bhdleon/api/v1/personal/pega-self-service"/>
        <s v="Impresoras RICOH"/>
        <s v="Generacion/Consulta codigo QR"/>
        <s v="IBM StorWize v5000"/>
        <s v="Dell Unisphere"/>
        <s v="Alcance interno"/>
        <s v="RiverBed SteelHead"/>
        <s v="WEB IBE"/>
        <s v="DIMSA"/>
        <s v="Lumina"/>
        <s v="Ws Canales"/>
        <s v="Red LAN_Añejamiento"/>
        <s v="IBP_Añejamiento"/>
        <s v="VEO"/>
        <s v="Remesas-Pegasus"/>
      </sharedItems>
    </cacheField>
    <cacheField name="Vulnerabilidad" numFmtId="0">
      <sharedItems containsBlank="1" count="215">
        <s v="Open SMTP relay de forma no autenticada"/>
        <s v="Divulgación de información en recursos compartidos NFS exportados para Everyone"/>
        <s v="Evasión de 2FA (Key Card) de transacciones entre cuentas"/>
        <s v="Omisión del token keycard para cambio de información personal."/>
        <s v="Broken Access Control en funcionalidad business-executive vía parámetro contactId."/>
        <s v="Falta de enmascaramiento en datos de tarjeta de crédito"/>
        <s v="Acceso no autorizado al saldo de cuentas"/>
        <s v="Alteración de correo electrónico debido a ausencia de saneamiento."/>
        <s v="Configuración Permisiva de CORS Permite Solicitudes Autenticadas desde Dominios No Confiables."/>
        <s v="Broken Access Control en funcionalidad web-account-statements-report"/>
        <s v="Credenciales expuestas en recurso compartido permiten acceso no_x000a_autorizado y compromiso de servidor SQL"/>
        <s v="Exposición de Multicast DNS (mDNS): Ataque NTLM Relay para Obtención de Acceso Inicial"/>
        <s v="Control de Acceso de Redes Insuficiente"/>
        <s v="Enumeración de usuarios vía discrepancia observable a través del endpoint /mbe/security/otp"/>
        <s v="Falta de protección de LSA resulta en robo de credenciales y_x000a_escalamiento de privilegios en el dominio"/>
        <s v="Reutilización de contraseñas de administrador local en múltiples_x000a_equipos del dominio"/>
        <s v="Ataque de degradado Net-NTLM hacia activos con SMBv1 permite_x000a_escalamiento de privilegios y volcado de credenciales de dominio"/>
        <s v="Credenciales filtradas de portales internos en desarrollo"/>
        <s v="Envenenamiento de MDNS permite captura de autenticación Net-NTLMv2"/>
        <s v="Diseño inseguro permite obviar captcha en aplicación interna Bank_x000a_Office"/>
        <s v="Escalamiento de Privilegios y Compromiso del Dominio por Exposición de Credenciales"/>
        <s v="Divulgación de Datos de Cliente en Servicio de Estados de Cuenta"/>
        <s v="Exposición del puerto UDP 53 permite evadir portal cautivo y acceso a Internet"/>
        <s v="Enumeración de usuarios vía discrepancia observable a través del endpoint /business/login"/>
        <s v="Enumeración de usuarios vía discrepancia observable a través del endpoint /forgot-password"/>
        <s v="Aprobación de PIN Pesos desde Cuenta de Origen de Terceros"/>
        <s v="Manipulación de parámetros en transacciones financieras"/>
        <s v="Password spraying debido a restricción inadecuada de intentos de autenticación excesivos"/>
        <s v="Credenciales en Texto Plano Almacenadas en Archivo de políticas .pol (Empresarial)"/>
        <s v="Aplicación web potencialmente vulnerable a Clickjacking"/>
        <s v="Ausencia de Headers de seguridad "/>
        <s v="Divulgación no autorizada de beneficiarios inscritos por IBE Mobile."/>
        <s v="Acceso no autorizado al historial de transacciones"/>
        <s v="Divulgación de Datos de Empresas de Terceros por Falta de Autorización en Administración de Usuarios"/>
        <s v="Acceso no autorizado al historial de transacciones en Internet Banking Empresarial"/>
        <s v="Ausencia de Autenticación en Apache ODE"/>
        <s v="Divulgación de transacciones y plantillas de terceros mediante función de carga de Pin Pesos"/>
        <s v="Creación no autorizada de usuarios en cuentas empresariales de terceros"/>
        <s v="Exposición de Números de Tarjetas de Crédito en Texto Claro y Datos Sensibles en directorio HOME"/>
        <s v="Falta de enmascaramiento del número de tarjeta de crédito en funcionalidad de Dashboard"/>
        <s v="Documentación del API Para el Sitio Web backend.bhd.com.do Expuesta"/>
        <s v="Acceso no autorizado al listado de beneficiarios"/>
        <s v="Bypass de Restricción de Sesiones Concurrentes para Evadir Límites de Acceso Simultáneo"/>
        <s v="Credenciales de prueba en código fuente - Panamá Mobile Token"/>
        <s v="Divulgación de información en multiples formularios de la web bhdpanama.com"/>
        <s v="Enumeración de Usuarios debido a Mensajes en la respuesta del Servidor"/>
        <s v="Enumeración No Autenticada de usuarios en funcionalidad Olvidó Contraseñas Mobile"/>
        <s v="Error en la Validación de Contraseña Permite Realizar Acciones No Autorizadas"/>
        <s v="Divulgación de secreto del proveedor en token JWT"/>
        <s v="Exposición de Archivos de Configuración en Aplicación Web bhdpanama.com/bhdibp"/>
        <s v="Falta de limite de consultas en la ruta /vuserver/a.php?cupon= "/>
        <s v="Exposición de Archivos WSDL y BPEL sin Autenticación"/>
        <s v="Omisión del Token 2FA Debido a Funcionamiento Incorrecto"/>
        <s v="Enumeración de corresponsales"/>
        <s v="Falta de validación en flujo de confirmación de transacción "/>
        <s v="Inyección SQL en el campo “idBusiness”"/>
        <s v="Inyección SQL en múltiples rutas utilizando token JWT malformado"/>
        <s v="Control no autorizado sobre la gestión de enlaces de pago de cuentas arbitrarias"/>
        <s v="Bypass de 2FA mediante explotación de funcionalidad Preguntas de Seguridad."/>
        <s v="Permisos Inseguros en Carpetas Compartidas Exponen Información Sensible (Código Fuente, Archivos de Configuración, PII)"/>
        <s v="Transacciones arbitrarias a terceros a través de template de transacciones entre cuentas IBE Mobile"/>
        <s v="Falta de enmascaramiento en datos de tarjeta de crédito en funcionalidad estado de cuenta"/>
        <s v="Bypass de 2FA (Check-Token) en Mobile Banking Empresarial."/>
        <s v="Acceso no autorizado a ofertas de usuarios"/>
        <s v="Gitlab API Access Token Hard-Coded en el APK del Internet Banking Personal"/>
        <s v="Flujo Inseguro de Onboarding por Falta de Validación de Identidad para Creación de Usuarios"/>
        <s v="Exfiltración de PII y Compromiso de Cuentas de Usuario por Credenciales Fijas en JavaScript"/>
        <s v="Credenciales débiles en WordPress de Promociones"/>
        <s v="Acceso no autenticado al historial de transacciones mediante transaction-history"/>
        <s v="Extracción de credenciales de cuenta de sincronizacion con Azure AD"/>
        <s v="Suplantación de usuario mediante manipulación de token JWT"/>
        <s v="SMB Remote Windows Kernel Pool Corruption (MS17-010)"/>
        <s v="Divulgación de Información en Wordpress a Través de Archivo error_log"/>
        <s v="Bypass de validación de identidad para generación de PIN Pesos"/>
        <s v="Enumeración de usuarios de WordPress en portal de promociones."/>
        <s v="Evasión de proceso de Onboarding y Autenticación de Dos Factores (2FA)"/>
        <s v="Eliminación de remesas de otros corresponsales"/>
        <s v="Falta de validación de corresponsal permite creación de remesas a nombre de otro corresponsal"/>
        <s v="Credenciales en Texto Plano Almacenadas en Archivo de políticas .pol (Personal)"/>
        <s v="Crear cuentas de maquina aprovechando atributo ms-DSMachineAccountQuota"/>
        <s v="Protección Anti Emulación/Virtualización insuficiente"/>
        <s v="implementación deficiente de mTLS"/>
        <s v="Inyección SQL basada en tiempo y condicionales booleanas en parámetro orderNumber en la funcionalidad de consulta de remesas "/>
        <s v="Escalamiento de privilegios a Domain Admin"/>
        <s v="Manipulación de parámetros permite creación de remesas fraudulentas"/>
        <s v="Uso ilimitado de access token dentro del scope_at permite creación y eliminación de remesas sin restricción "/>
        <s v="Protección Anti Ingeniería Inversa (Ofuscación) insuficiente"/>
        <s v="Validación insuficiente en proceso de firma de certificados digitales (CSR) "/>
        <s v="Protección Anti Jailbreak insuficiente"/>
        <s v="Acceso a múltiples equipos UPS Schneider Electric Network Management Card AOS v7.0.4 vía credenciales por defecto"/>
        <s v="Protección Anti Root insuficiente"/>
        <s v="Protección SSL Pinning insuficiente "/>
        <s v="Certificados SSL no confiables, generadores aleatorios predecibles, fuga de información, navegación de directorios"/>
        <s v="Acceso no autorizado al contrato de préstamos utilizando número PCOM"/>
        <s v="Configuraciones débiles en certificados SSL"/>
        <s v="Autoridad Certificadora (CA) susceptible a ataque ESC8: NTLM Relay to AD CS HTTP Endpoints"/>
        <s v="Autoridad Certificadora (CA) susceptible a ataque ESC4: Vulnerable Certificate Template Access Control"/>
        <s v="Cookies sin atributo HttpOnly"/>
        <s v="Account Takeover por preguntas de seguridad predecibles"/>
        <s v="Credenciales en el logcat del dispositivo"/>
        <s v="Aplicación web expuesta a ataques Cross-Site Request Forgery (CSRF)"/>
        <s v="Ausencia de rate limit en funcionalidades de envío de correos electrónicos "/>
        <s v="Divulgación de información de la base de datos a través del endpoint /empresas/pago"/>
        <s v="Bypass a validación de prueba de vida biométrica y documento de contra padrón JCE."/>
        <s v="Divulgación de información en el endpoint/clientes/empresas/listado de API"/>
        <s v="Asignación No Autorizada de Cuentas para Pago de Préstamos"/>
        <s v="Divulgación de información en recursos compartidos NFS exportados para todos en la red (Everyone). "/>
        <s v="Privilegios excesivos para grupo Domain Users"/>
        <s v="Exposición a Ataques Man-in-the-Middle por IPv6 No manejado en Active Directory"/>
        <s v="Acceso no autorizado al saldo de cuentas de manera no autenticada mediante quick-access"/>
        <s v="El servidor web remoto no está aplicando HSTS"/>
        <s v="Divulgación de cédulas de manera no autorizada a través del endpoint feature_x0002_flags"/>
        <s v="Evasión de Tarjeta de Clave y pago no autorizado hacia tarjetas de crédito de terceros mediante transferencias entre mis productos"/>
        <s v="Enumeración de usuarios por discrepancia observable víaa /v1/personal/login endpoint"/>
        <s v="Enumeracion de usuarios no autenticada debido a discrepancia observable"/>
        <s v="Enumeración de usuarios vía discrepancia observable a través de la funcionalidad generar_clave.pub"/>
        <s v="Enumeración de usuarios vía discrepancia observable a través de la funcionalidad responder_preguntas_recuperacion.pub"/>
        <s v="Enumeración de usuarios vía discrepancia observable a través de método JSON-RPC"/>
        <s v="Omisión del token 2FA Keycard en cambios de información personal, opciones de seguridad y otras funcionalidades"/>
        <s v="Permisos excesivos para grupo Everyone"/>
        <s v="Smb signing deshabilitado en controladores de dominio"/>
        <s v="LDAP signing no enforzado"/>
        <s v="Exposición de Credenciales en Texto Plano en Archivos .config"/>
        <s v="Acceso Remoto a ATMs"/>
        <s v="Indirect Object Reference (IDOR) Permite Acceso Arbitrario a crear reportes de Tarjetas de créditos"/>
        <s v="Uso de credenciales administrativas por defecto en Schneider Electric Galaxy 3500"/>
        <s v="Portal de DevOps expone contrasena para acceso a recursos en Azure DevOps"/>
        <s v="Divulgación de información en código javascript del portal de DevOps"/>
        <s v="Error en la Lógica de Negocio debido a exceso en el límite de préstamo"/>
        <s v="Exposición del Número Completo de Tarjeta de Crédito a través del Endpoint /personas/productos"/>
        <s v="Ausencia de enmascaramiento en datos de tarjeta de crédito"/>
        <s v="Falta de encabezado HSTS"/>
        <s v="Indirect Object Reference (IDOR) Permite Acceso Arbitrario a detalles de Tarjetas de créditos"/>
        <s v="Indirect Object Reference (IDOR) Permite Acceso Arbitrario a números de Tarjetas de créditos"/>
        <s v="Bypass de Check-Token en IBE Mobile"/>
        <s v="Falta de autenticación en OsmoAutenticador"/>
        <s v="Falta de Protección contra Replay Attacks"/>
        <s v="Acceso no autorizado al historial de transacciones a través de funcionalidad transaction-history"/>
        <s v="Falta de validación del lado del servidor para la tasa de interés de préstamos"/>
        <s v="Inadecuada protección de fuga de Información"/>
        <s v="Enumeración de usuarios vía discrepancia observable a través de funcionalidad login"/>
        <s v="Uso de credenciales administrativas por defecto en UPS Powerlogic PM8000"/>
        <s v="Manejo inadecuado de excepciones y consumo descontrolado de recursos en Apache Tomcat. "/>
        <s v="Acceso a Base de Datos de Domiciliación: Contraseñas SFTP, Siebel, Tarjetas, CardNET, Datos de Clientes, Tarjetas de Crédito."/>
        <s v="Falta de validación de correspondencia entre cédula y correo en flujo OTP"/>
        <s v="Bases de datos de KeePass + Claves en texto claro en directorio compartido"/>
        <s v="Aplicación vulnerable a Clickjacking"/>
        <s v="Password Spraying debido a restricción inadecuada  de intentos de autenticación excesivos"/>
        <s v="Compromiso de domatm.local debido al reúso de credenciales"/>
        <s v="Aplicación vulnerable a Enumeración de Usuarios "/>
        <s v="Seguridad por Oscuridad en Uso de Encriptación Client-Side"/>
        <s v="Suplantación de usuario a través del endpoint /proveedores/ autenticacion"/>
        <s v="Ausencia de Headers de Seguridad"/>
        <s v="Transacciones en cuentas arbitrarias en el Endpoint de Pago"/>
        <s v="Cabecera Strict-Transport-Security Header (HSTS) no configurada"/>
        <s v="Unauthorized account transactions via &quot;/thirdpartybhdleon/acounts/transfer&quot; API endpoint"/>
        <s v="Credenciales por defecto en impresora RICOH"/>
        <s v="Cookies con propiedades faltantes"/>
        <s v="Validar igualdad entre débitos y créditos en las transacciones "/>
        <s v="Falta de Validación de Esquema en la API Permite Almacenamiento y Exposición de Campos Arbitrarios"/>
        <s v="Protocolos de comunicación no segura, servidores no encriptados, creación de archivos temporales no seguros"/>
        <s v="IBM Storwize v5000 Service Assistant Tool configurado con credenciales por defecto"/>
        <s v="Robo de hash Net-Ntlmv2 de la Cuenta de Máquina a través de Stored Procedure xp_dirtree"/>
        <s v="Múltiples instancias de DELL EMC Unisphere for PowerMax con credenciales por defecto"/>
        <s v="ACCESO NO AUTORIZADO A RESPALDO DE BASE DE DATOS EN RECURSO COMPARTIDO"/>
        <s v="SSL pinning implemented within the application"/>
        <s v="ALMACENAMIENTO INSEGURO DE CREDENCIALES EN TEXTO CLARO EN MÚLTIPLES BASES DE DATOS EN SQL SERVER"/>
        <s v="The application's root detection mechanism is not present"/>
        <s v="COMPROMISO DE CUENTAS DE DOMINIO Y SERVICIOS MSSQL POR EXPOSICIÓN DE CREDENCIALES EN ARCHIVOS DE CONFIGURACIÓN"/>
        <s v="Uso de credenciales administrativas por defecto en Riverbed SteelHead"/>
        <s v="Versión de NGINX desactualizada"/>
        <s v="Múltiples sesiones activas de un usuario permitidas"/>
        <s v="EXPOSICIÓN DE ARCHIVO PHPINFO.PHP"/>
        <s v="IMPRESORA HP SIN CREDENCIALES"/>
        <s v="NTLM RELAY DEBIDO A FIRMA SMB NO APLICADA"/>
        <s v="PERMISOS EXCESIVOS EN CARPETA COMPARTIDA PERMITE EJECUCION DE CÓDIGO"/>
        <s v="Nombre descriptivo del ID de la sesión de usuarios"/>
        <s v="Validación inadecuada de entrada de datos del usuario"/>
        <s v="Inyección SQL no autenticada permite exfiltración de datos, robo de Hash Net-NTLMV2 y ejecución arbitraria de comandos"/>
        <s v="Llave fija para desencriptar credenciales de usuarios de base de datos permite escalamiento de privilegios dentro de la aplicación"/>
        <s v="Despliegue inseguro de software desde carpeta compartida permite ejecución de código malicioso"/>
        <s v="Diseño inseguro permite evadir control de autenticación resultando en acceso ilegitimo a la aplicación"/>
        <s v="Diseño inseguro permite compromiso total del sistema mediante evasión de validaciones mediante manipulación de código"/>
        <s v="Comunicación en texto plano entre aplicación y servidor SQL expone datos sensibles"/>
        <s v="Falta de token de autenticación permite secuestro de sesión de usuario sin credenciales"/>
        <s v="Exposición de credenciales Oracle en archivo de configuración XML"/>
        <s v="Acceso a funcionalidades no autorizadas a través de modificación de XML de permisos"/>
        <s v="Exposición de archivos de de configuración en recursos compartidos"/>
        <s v="Consulta no autenticada de estado y vinculación de clientes"/>
        <s v="Exposición de Java RMI sin cifrado permite manipulación de objetos en ataques MiTM"/>
        <s v="Portal de devops expone terminal de SQL a usuarios no autenticado"/>
        <s v="Omisión del token 2fa debido a incorrecto funcionamiento"/>
        <s v="Segmentación y Control de Acceso Lógico"/>
        <s v="Política de contraseña débiles"/>
        <s v="Acceso no autorizado a detalles de cuentas personales a través de parámetro contactId"/>
        <s v="Evasión de los Controles de Restricción de Ejecución (SRP) en la Estación Segura Utilizada para Operar SWIFT"/>
        <s v="Acceso de Entrada No Restringido hacia Estaciones de Trabajo SWIFT (Falta de Segmentación y Exposición de Servicios Remotos)"/>
        <s v="Valor predeterminado inseguro “KEYSTORE_PASSWORD” en SWIFT Web Alliance"/>
        <s v="Acceso de Salida No Restringido desde estaciones de trabajo de SWIFT"/>
        <s v="Hardening insuficiente: Falta de Proteccion de LSA"/>
        <s v="Emisión Insegura de Token JWT mediante Enumeración de Identidad"/>
        <s v="Sobrescritura de Datos a través de Inclusión Manual de UUID en el Cuerpo de la Solicitud"/>
        <s v="Configuración Permisiva de CORS Permite Solicitudes Autenticadas desde Dominios No Confiables"/>
        <s v="Ausencia total de controles de seguridad y separación de privilegios en las aplicaciones por eludibilidad completa de la lógica"/>
        <s v="Almacenamiento inseguro de credenciales cifradas en el Registro de Windows"/>
        <s v="Exposición de funcionalidades críticas por ausencia de autenticación en la aplicación PDPC"/>
        <s v="Exposición de información sensible mediante consultas a la base de datos sin cifrar"/>
        <s v="Denegación de servicio por mecanismo de exclusión basado en bloqueo persistente en base de datos"/>
        <s v="Denegación de servicio por procesamiento de comandos no autenticados en servicio TCP"/>
        <s v="Exposición de hashes de usuario debido a diseño inseguro en consultas a base de datos"/>
        <s v="Ausencia total de mitigaciones de seguridad a nivel de binario en aplicaciones Delphi"/>
        <s v="Divulgación de credenciales mediante comando no autenticado en servicio TCP"/>
        <s v="Control de acceso roto mediante manipulación de configuración en el Registro de Windows"/>
        <s v="[PDPC] Manejo de rutas de archivos deficiente permite robo de hash NTLM"/>
        <m/>
      </sharedItems>
    </cacheField>
    <cacheField name="Recomendaciones" numFmtId="0">
      <sharedItems containsBlank="1" longText="1"/>
    </cacheField>
    <cacheField name="Severidad" numFmtId="0">
      <sharedItems containsBlank="1" count="5">
        <s v="Media"/>
        <s v="Alta"/>
        <s v="Critica"/>
        <s v="Baja"/>
        <m/>
      </sharedItems>
    </cacheField>
    <cacheField name="Notas" numFmtId="0">
      <sharedItems containsBlank="1"/>
    </cacheField>
    <cacheField name="Riesgo Asociado" numFmtId="0">
      <sharedItems containsBlank="1"/>
    </cacheField>
    <cacheField name="Descripcion del riesgo" numFmtId="0">
      <sharedItems containsBlank="1" longText="1"/>
    </cacheField>
    <cacheField name="Responsable" numFmtId="0">
      <sharedItems containsBlank="1"/>
    </cacheField>
    <cacheField name="Fecha de Compromiso" numFmtId="0">
      <sharedItems containsDate="1" containsString="0" containsBlank="1" containsMixedTypes="1" minDate="2024-11-30T00:00:00" maxDate="1900-01-07T02:40:04"/>
    </cacheField>
    <cacheField name="Notas sobre Plan de accion" numFmtId="0">
      <sharedItems containsBlank="1" longText="1"/>
    </cacheField>
    <cacheField name="Estatus" numFmtId="0">
      <sharedItems containsBlank="1"/>
    </cacheField>
    <cacheField name="Probado Por" numFmtId="0">
      <sharedItems containsBlank="1"/>
    </cacheField>
    <cacheField name="Resultado Re Test" numFmtId="0">
      <sharedItems containsBlank="1"/>
    </cacheField>
    <cacheField name="Notas de impedimento" numFmtId="0">
      <sharedItems containsBlank="1" longText="1"/>
    </cacheField>
    <cacheField name="Fecha de recepcion " numFmtId="0">
      <sharedItems containsNonDate="0" containsDate="1" containsString="0" containsBlank="1" minDate="2024-10-22T00:00:00" maxDate="2026-02-11T00:00:00"/>
    </cacheField>
    <cacheField name="Veces en Re Test" numFmtId="0">
      <sharedItems containsString="0" containsBlank="1" containsNumber="1" containsInteger="1" minValue="0" maxValue="6"/>
    </cacheField>
    <cacheField name="PonderacionInformeVulnerabilidad" numFmtId="0">
      <sharedItems containsBlank="1"/>
    </cacheField>
    <cacheField name="Nombre informe de pentest" numFmtId="0">
      <sharedItems containsBlank="1"/>
    </cacheField>
    <cacheField name="Proveedor" numFmtId="0">
      <sharedItems containsBlank="1"/>
    </cacheField>
    <cacheField name="Activos afectados" numFmtId="0">
      <sharedItems containsBlank="1"/>
    </cacheField>
    <cacheField name="Months (Fecha Hallazgo)" numFmtId="0" databaseField="0">
      <fieldGroup base="0">
        <rangePr groupBy="months" startDate="2023-11-01T00:00:00" endDate="2026-02-03T00:00:00"/>
        <groupItems count="14">
          <s v="&lt;1/11/2023"/>
          <s v="ene"/>
          <s v="feb"/>
          <s v="mar"/>
          <s v="abr"/>
          <s v="may"/>
          <s v="jun"/>
          <s v="jul"/>
          <s v="ago"/>
          <s v="sep"/>
          <s v="oct"/>
          <s v="nov"/>
          <s v="dic"/>
          <s v="&gt;3/2/2026"/>
        </groupItems>
      </fieldGroup>
    </cacheField>
    <cacheField name="Quarters (Fecha Hallazgo)" numFmtId="0" databaseField="0">
      <fieldGroup base="0">
        <rangePr groupBy="quarters" startDate="2023-11-01T00:00:00" endDate="2026-02-03T00:00:00"/>
        <groupItems count="6">
          <s v="&lt;1/11/2023"/>
          <s v="Qtr1"/>
          <s v="Qtr2"/>
          <s v="Qtr3"/>
          <s v="Qtr4"/>
          <s v="&gt;3/2/2026"/>
        </groupItems>
      </fieldGroup>
    </cacheField>
    <cacheField name="Years (Fecha Hallazgo)" numFmtId="0" databaseField="0">
      <fieldGroup base="0">
        <rangePr groupBy="years" startDate="2023-11-01T00:00:00" endDate="2026-02-03T00:00:00"/>
        <groupItems count="6">
          <s v="&lt;1/11/2023"/>
          <s v="2023"/>
          <s v="2024"/>
          <s v="2025"/>
          <s v="2026"/>
          <s v="&gt;3/2/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UDES HERNANDEZ, BHD" refreshedDate="46091.45520138889" backgroundQuery="1" createdVersion="8" refreshedVersion="8" minRefreshableVersion="3" recordCount="0" supportSubquery="1" supportAdvancedDrill="1" xr:uid="{AAFDD047-5B0D-4C50-9EF4-EC7096EE6011}">
  <cacheSource type="external" connectionId="2"/>
  <cacheFields count="4">
    <cacheField name="[Consolidado7].[Resultado Re Test].[Resultado Re Test]" caption="Resultado Re Test" numFmtId="0" hierarchy="14" level="1">
      <sharedItems count="3">
        <s v="Corregido"/>
        <s v="Vulnerable"/>
        <s v="Desestimado" u="1"/>
      </sharedItems>
    </cacheField>
    <cacheField name="[Measures].[Count of Vulnerabilidad]" caption="Count of Vulnerabilidad" numFmtId="0" hierarchy="28" level="32767"/>
    <cacheField name="[Consolidado7].[Fecha Hallazgo].[Fecha Hallazgo]" caption="Fecha Hallazgo" numFmtId="0" level="1">
      <sharedItems containsSemiMixedTypes="0" containsNonDate="0" containsString="0"/>
    </cacheField>
    <cacheField name="[Consolidado7].[Nombre informe de pentest].[Nombre informe de pentest]" caption="Nombre informe de pentest" numFmtId="0" hierarchy="19" level="1">
      <sharedItems containsSemiMixedTypes="0" containsNonDate="0" containsString="0"/>
    </cacheField>
  </cacheFields>
  <cacheHierarchies count="29">
    <cacheHierarchy uniqueName="[Consolidado7].[Fecha Hallazgo]" caption="Fecha Hallazgo" attribute="1" time="1" defaultMemberUniqueName="[Consolidado7].[Fecha Hallazgo].[All]" allUniqueName="[Consolidado7].[Fecha Hallazgo].[All]" dimensionUniqueName="[Consolidado7]" displayFolder="" count="2" memberValueDatatype="7" unbalanced="0">
      <fieldsUsage count="2">
        <fieldUsage x="-1"/>
        <fieldUsage x="2"/>
      </fieldsUsage>
    </cacheHierarchy>
    <cacheHierarchy uniqueName="[Consolidado7].[Institucion]" caption="Institucion" attribute="1" defaultMemberUniqueName="[Consolidado7].[Institucion].[All]" allUniqueName="[Consolidado7].[Institucion].[All]" dimensionUniqueName="[Consolidado7]" displayFolder="" count="0" memberValueDatatype="130" unbalanced="0"/>
    <cacheHierarchy uniqueName="[Consolidado7].[Aplicacion]" caption="Aplicacion" attribute="1" defaultMemberUniqueName="[Consolidado7].[Aplicacion].[All]" allUniqueName="[Consolidado7].[Aplicacion].[All]" dimensionUniqueName="[Consolidado7]" displayFolder="" count="0" memberValueDatatype="130" unbalanced="0"/>
    <cacheHierarchy uniqueName="[Consolidado7].[Vulnerabilidad]" caption="Vulnerabilidad" attribute="1" defaultMemberUniqueName="[Consolidado7].[Vulnerabilidad].[All]" allUniqueName="[Consolidado7].[Vulnerabilidad].[All]" dimensionUniqueName="[Consolidado7]" displayFolder="" count="0" memberValueDatatype="130" unbalanced="0"/>
    <cacheHierarchy uniqueName="[Consolidado7].[Recomendaciones]" caption="Recomendaciones" attribute="1" defaultMemberUniqueName="[Consolidado7].[Recomendaciones].[All]" allUniqueName="[Consolidado7].[Recomendaciones].[All]" dimensionUniqueName="[Consolidado7]" displayFolder="" count="0" memberValueDatatype="130" unbalanced="0"/>
    <cacheHierarchy uniqueName="[Consolidado7].[Severidad]" caption="Severidad" attribute="1" defaultMemberUniqueName="[Consolidado7].[Severidad].[All]" allUniqueName="[Consolidado7].[Severidad].[All]" dimensionUniqueName="[Consolidado7]" displayFolder="" count="0" memberValueDatatype="130" unbalanced="0"/>
    <cacheHierarchy uniqueName="[Consolidado7].[Notas]" caption="Notas" attribute="1" defaultMemberUniqueName="[Consolidado7].[Notas].[All]" allUniqueName="[Consolidado7].[Notas].[All]" dimensionUniqueName="[Consolidado7]" displayFolder="" count="0" memberValueDatatype="130" unbalanced="0"/>
    <cacheHierarchy uniqueName="[Consolidado7].[Riesgo Asociado]" caption="Riesgo Asociado" attribute="1" defaultMemberUniqueName="[Consolidado7].[Riesgo Asociado].[All]" allUniqueName="[Consolidado7].[Riesgo Asociado].[All]" dimensionUniqueName="[Consolidado7]" displayFolder="" count="0" memberValueDatatype="130" unbalanced="0"/>
    <cacheHierarchy uniqueName="[Consolidado7].[Descripcion del riesgo]" caption="Descripcion del riesgo" attribute="1" defaultMemberUniqueName="[Consolidado7].[Descripcion del riesgo].[All]" allUniqueName="[Consolidado7].[Descripcion del riesgo].[All]" dimensionUniqueName="[Consolidado7]" displayFolder="" count="0" memberValueDatatype="130" unbalanced="0"/>
    <cacheHierarchy uniqueName="[Consolidado7].[Responsable]" caption="Responsable" attribute="1" defaultMemberUniqueName="[Consolidado7].[Responsable].[All]" allUniqueName="[Consolidado7].[Responsable].[All]" dimensionUniqueName="[Consolidado7]" displayFolder="" count="0" memberValueDatatype="130" unbalanced="0"/>
    <cacheHierarchy uniqueName="[Consolidado7].[Fecha de Compromiso]" caption="Fecha de Compromiso" attribute="1" defaultMemberUniqueName="[Consolidado7].[Fecha de Compromiso].[All]" allUniqueName="[Consolidado7].[Fecha de Compromiso].[All]" dimensionUniqueName="[Consolidado7]" displayFolder="" count="0" memberValueDatatype="130" unbalanced="0"/>
    <cacheHierarchy uniqueName="[Consolidado7].[Notas sobre Plan de accion]" caption="Notas sobre Plan de accion" attribute="1" defaultMemberUniqueName="[Consolidado7].[Notas sobre Plan de accion].[All]" allUniqueName="[Consolidado7].[Notas sobre Plan de accion].[All]" dimensionUniqueName="[Consolidado7]" displayFolder="" count="0" memberValueDatatype="130" unbalanced="0"/>
    <cacheHierarchy uniqueName="[Consolidado7].[Estatus]" caption="Estatus" attribute="1" defaultMemberUniqueName="[Consolidado7].[Estatus].[All]" allUniqueName="[Consolidado7].[Estatus].[All]" dimensionUniqueName="[Consolidado7]" displayFolder="" count="0" memberValueDatatype="130" unbalanced="0"/>
    <cacheHierarchy uniqueName="[Consolidado7].[Probado Por]" caption="Probado Por" attribute="1" defaultMemberUniqueName="[Consolidado7].[Probado Por].[All]" allUniqueName="[Consolidado7].[Probado Por].[All]" dimensionUniqueName="[Consolidado7]" displayFolder="" count="0" memberValueDatatype="130" unbalanced="0"/>
    <cacheHierarchy uniqueName="[Consolidado7].[Resultado Re Test]" caption="Resultado Re Test" attribute="1" defaultMemberUniqueName="[Consolidado7].[Resultado Re Test].[All]" allUniqueName="[Consolidado7].[Resultado Re Test].[All]" dimensionUniqueName="[Consolidado7]" displayFolder="" count="2" memberValueDatatype="130" unbalanced="0">
      <fieldsUsage count="2">
        <fieldUsage x="-1"/>
        <fieldUsage x="0"/>
      </fieldsUsage>
    </cacheHierarchy>
    <cacheHierarchy uniqueName="[Consolidado7].[Notas de impedimento]" caption="Notas de impedimento" attribute="1" defaultMemberUniqueName="[Consolidado7].[Notas de impedimento].[All]" allUniqueName="[Consolidado7].[Notas de impedimento].[All]" dimensionUniqueName="[Consolidado7]" displayFolder="" count="0" memberValueDatatype="130" unbalanced="0"/>
    <cacheHierarchy uniqueName="[Consolidado7].[Fecha de recepcion]" caption="Fecha de recepcion" attribute="1" time="1" defaultMemberUniqueName="[Consolidado7].[Fecha de recepcion].[All]" allUniqueName="[Consolidado7].[Fecha de recepcion].[All]" dimensionUniqueName="[Consolidado7]" displayFolder="" count="0" memberValueDatatype="7" unbalanced="0"/>
    <cacheHierarchy uniqueName="[Consolidado7].[Veces en Re Test]" caption="Veces en Re Test" attribute="1" defaultMemberUniqueName="[Consolidado7].[Veces en Re Test].[All]" allUniqueName="[Consolidado7].[Veces en Re Test].[All]" dimensionUniqueName="[Consolidado7]" displayFolder="" count="0" memberValueDatatype="20" unbalanced="0"/>
    <cacheHierarchy uniqueName="[Consolidado7].[PonderacionInformeVulnerabilidad]" caption="PonderacionInformeVulnerabilidad" attribute="1" defaultMemberUniqueName="[Consolidado7].[PonderacionInformeVulnerabilidad].[All]" allUniqueName="[Consolidado7].[PonderacionInformeVulnerabilidad].[All]" dimensionUniqueName="[Consolidado7]" displayFolder="" count="0" memberValueDatatype="130" unbalanced="0"/>
    <cacheHierarchy uniqueName="[Consolidado7].[Nombre informe de pentest]" caption="Nombre informe de pentest" attribute="1" defaultMemberUniqueName="[Consolidado7].[Nombre informe de pentest].[All]" allUniqueName="[Consolidado7].[Nombre informe de pentest].[All]" dimensionUniqueName="[Consolidado7]" displayFolder="" count="2" memberValueDatatype="130" unbalanced="0">
      <fieldsUsage count="2">
        <fieldUsage x="-1"/>
        <fieldUsage x="3"/>
      </fieldsUsage>
    </cacheHierarchy>
    <cacheHierarchy uniqueName="[Consolidado7].[Proveedor]" caption="Proveedor" attribute="1" defaultMemberUniqueName="[Consolidado7].[Proveedor].[All]" allUniqueName="[Consolidado7].[Proveedor].[All]" dimensionUniqueName="[Consolidado7]" displayFolder="" count="0" memberValueDatatype="130" unbalanced="0"/>
    <cacheHierarchy uniqueName="[Consolidado7].[Activos afectados]" caption="Activos afectados" attribute="1" defaultMemberUniqueName="[Consolidado7].[Activos afectados].[All]" allUniqueName="[Consolidado7].[Activos afectados].[All]" dimensionUniqueName="[Consolidado7]" displayFolder="" count="0" memberValueDatatype="130" unbalanced="0"/>
    <cacheHierarchy uniqueName="[Consolidado7].[Fecha Hallazgo (Year)]" caption="Fecha Hallazgo (Year)" attribute="1" defaultMemberUniqueName="[Consolidado7].[Fecha Hallazgo (Year)].[All]" allUniqueName="[Consolidado7].[Fecha Hallazgo (Year)].[All]" dimensionUniqueName="[Consolidado7]" displayFolder="" count="0" memberValueDatatype="130" unbalanced="0"/>
    <cacheHierarchy uniqueName="[Consolidado7].[Fecha Hallazgo (Quarter)]" caption="Fecha Hallazgo (Quarter)" attribute="1" defaultMemberUniqueName="[Consolidado7].[Fecha Hallazgo (Quarter)].[All]" allUniqueName="[Consolidado7].[Fecha Hallazgo (Quarter)].[All]" dimensionUniqueName="[Consolidado7]" displayFolder="" count="0" memberValueDatatype="130" unbalanced="0"/>
    <cacheHierarchy uniqueName="[Consolidado7].[Fecha Hallazgo (Month)]" caption="Fecha Hallazgo (Month)" attribute="1" defaultMemberUniqueName="[Consolidado7].[Fecha Hallazgo (Month)].[All]" allUniqueName="[Consolidado7].[Fecha Hallazgo (Month)].[All]" dimensionUniqueName="[Consolidado7]" displayFolder="" count="0" memberValueDatatype="130" unbalanced="0"/>
    <cacheHierarchy uniqueName="[Consolidado7].[Fecha Hallazgo (Month Index)]" caption="Fecha Hallazgo (Month Index)" attribute="1" defaultMemberUniqueName="[Consolidado7].[Fecha Hallazgo (Month Index)].[All]" allUniqueName="[Consolidado7].[Fecha Hallazgo (Month Index)].[All]" dimensionUniqueName="[Consolidado7]" displayFolder="" count="0" memberValueDatatype="20" unbalanced="0" hidden="1"/>
    <cacheHierarchy uniqueName="[Measures].[__XL_Count Consolidado7]" caption="__XL_Count Consolidado7" measure="1" displayFolder="" measureGroup="Consolidado7" count="0" hidden="1"/>
    <cacheHierarchy uniqueName="[Measures].[__No measures defined]" caption="__No measures defined" measure="1" displayFolder="" count="0" hidden="1"/>
    <cacheHierarchy uniqueName="[Measures].[Count of Vulnerabilidad]" caption="Count of Vulnerabilidad" measure="1" displayFolder="" measureGroup="Consolidado7"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name="Consolidado7" uniqueName="[Consolidado7]" caption="Consolidado7"/>
    <dimension measure="1" name="Measures" uniqueName="[Measures]" caption="Measures"/>
  </dimensions>
  <measureGroups count="1">
    <measureGroup name="Consolidado7" caption="Consolidado7"/>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UDES HERNANDEZ, BHD" refreshedDate="46091.455202083336" backgroundQuery="1" createdVersion="8" refreshedVersion="8" minRefreshableVersion="3" recordCount="0" supportSubquery="1" supportAdvancedDrill="1" xr:uid="{0793D377-0C69-44BA-BA50-79E7E9A8942A}">
  <cacheSource type="external" connectionId="2"/>
  <cacheFields count="5">
    <cacheField name="[Measures].[Count of Vulnerabilidad]" caption="Count of Vulnerabilidad" numFmtId="0" hierarchy="28" level="32767"/>
    <cacheField name="[Consolidado7].[Resultado Re Test].[Resultado Re Test]" caption="Resultado Re Test" numFmtId="0" hierarchy="14" level="1">
      <sharedItems count="3">
        <s v="Vulnerable"/>
        <s v="Corregido"/>
        <s v="Desestimado" u="1"/>
      </sharedItems>
    </cacheField>
    <cacheField name="[Consolidado7].[Veces en Re Test].[Veces en Re Test]" caption="Veces en Re Test" numFmtId="0" hierarchy="17" level="1">
      <sharedItems containsSemiMixedTypes="0" containsString="0" containsNumber="1" containsInteger="1" minValue="0" maxValue="4" count="5">
        <n v="0"/>
        <n v="1"/>
        <n v="2"/>
        <n v="3"/>
        <n v="4"/>
      </sharedItems>
      <extLst>
        <ext xmlns:x15="http://schemas.microsoft.com/office/spreadsheetml/2010/11/main" uri="{4F2E5C28-24EA-4eb8-9CBF-B6C8F9C3D259}">
          <x15:cachedUniqueNames>
            <x15:cachedUniqueName index="0" name="[Consolidado7].[Veces en Re Test].&amp;[0]"/>
            <x15:cachedUniqueName index="1" name="[Consolidado7].[Veces en Re Test].&amp;[1]"/>
            <x15:cachedUniqueName index="2" name="[Consolidado7].[Veces en Re Test].&amp;[2]"/>
            <x15:cachedUniqueName index="3" name="[Consolidado7].[Veces en Re Test].&amp;[3]"/>
            <x15:cachedUniqueName index="4" name="[Consolidado7].[Veces en Re Test].&amp;[4]"/>
          </x15:cachedUniqueNames>
        </ext>
      </extLst>
    </cacheField>
    <cacheField name="[Consolidado7].[Fecha Hallazgo].[Fecha Hallazgo]" caption="Fecha Hallazgo" numFmtId="0" level="1">
      <sharedItems containsSemiMixedTypes="0" containsNonDate="0" containsString="0"/>
    </cacheField>
    <cacheField name="[Consolidado7].[Nombre informe de pentest].[Nombre informe de pentest]" caption="Nombre informe de pentest" numFmtId="0" hierarchy="19" level="1">
      <sharedItems containsSemiMixedTypes="0" containsNonDate="0" containsString="0"/>
    </cacheField>
  </cacheFields>
  <cacheHierarchies count="29">
    <cacheHierarchy uniqueName="[Consolidado7].[Fecha Hallazgo]" caption="Fecha Hallazgo" attribute="1" time="1" defaultMemberUniqueName="[Consolidado7].[Fecha Hallazgo].[All]" allUniqueName="[Consolidado7].[Fecha Hallazgo].[All]" dimensionUniqueName="[Consolidado7]" displayFolder="" count="2" memberValueDatatype="7" unbalanced="0">
      <fieldsUsage count="2">
        <fieldUsage x="-1"/>
        <fieldUsage x="3"/>
      </fieldsUsage>
    </cacheHierarchy>
    <cacheHierarchy uniqueName="[Consolidado7].[Institucion]" caption="Institucion" attribute="1" defaultMemberUniqueName="[Consolidado7].[Institucion].[All]" allUniqueName="[Consolidado7].[Institucion].[All]" dimensionUniqueName="[Consolidado7]" displayFolder="" count="0" memberValueDatatype="130" unbalanced="0"/>
    <cacheHierarchy uniqueName="[Consolidado7].[Aplicacion]" caption="Aplicacion" attribute="1" defaultMemberUniqueName="[Consolidado7].[Aplicacion].[All]" allUniqueName="[Consolidado7].[Aplicacion].[All]" dimensionUniqueName="[Consolidado7]" displayFolder="" count="0" memberValueDatatype="130" unbalanced="0"/>
    <cacheHierarchy uniqueName="[Consolidado7].[Vulnerabilidad]" caption="Vulnerabilidad" attribute="1" defaultMemberUniqueName="[Consolidado7].[Vulnerabilidad].[All]" allUniqueName="[Consolidado7].[Vulnerabilidad].[All]" dimensionUniqueName="[Consolidado7]" displayFolder="" count="0" memberValueDatatype="130" unbalanced="0"/>
    <cacheHierarchy uniqueName="[Consolidado7].[Recomendaciones]" caption="Recomendaciones" attribute="1" defaultMemberUniqueName="[Consolidado7].[Recomendaciones].[All]" allUniqueName="[Consolidado7].[Recomendaciones].[All]" dimensionUniqueName="[Consolidado7]" displayFolder="" count="0" memberValueDatatype="130" unbalanced="0"/>
    <cacheHierarchy uniqueName="[Consolidado7].[Severidad]" caption="Severidad" attribute="1" defaultMemberUniqueName="[Consolidado7].[Severidad].[All]" allUniqueName="[Consolidado7].[Severidad].[All]" dimensionUniqueName="[Consolidado7]" displayFolder="" count="0" memberValueDatatype="130" unbalanced="0"/>
    <cacheHierarchy uniqueName="[Consolidado7].[Notas]" caption="Notas" attribute="1" defaultMemberUniqueName="[Consolidado7].[Notas].[All]" allUniqueName="[Consolidado7].[Notas].[All]" dimensionUniqueName="[Consolidado7]" displayFolder="" count="0" memberValueDatatype="130" unbalanced="0"/>
    <cacheHierarchy uniqueName="[Consolidado7].[Riesgo Asociado]" caption="Riesgo Asociado" attribute="1" defaultMemberUniqueName="[Consolidado7].[Riesgo Asociado].[All]" allUniqueName="[Consolidado7].[Riesgo Asociado].[All]" dimensionUniqueName="[Consolidado7]" displayFolder="" count="0" memberValueDatatype="130" unbalanced="0"/>
    <cacheHierarchy uniqueName="[Consolidado7].[Descripcion del riesgo]" caption="Descripcion del riesgo" attribute="1" defaultMemberUniqueName="[Consolidado7].[Descripcion del riesgo].[All]" allUniqueName="[Consolidado7].[Descripcion del riesgo].[All]" dimensionUniqueName="[Consolidado7]" displayFolder="" count="0" memberValueDatatype="130" unbalanced="0"/>
    <cacheHierarchy uniqueName="[Consolidado7].[Responsable]" caption="Responsable" attribute="1" defaultMemberUniqueName="[Consolidado7].[Responsable].[All]" allUniqueName="[Consolidado7].[Responsable].[All]" dimensionUniqueName="[Consolidado7]" displayFolder="" count="0" memberValueDatatype="130" unbalanced="0"/>
    <cacheHierarchy uniqueName="[Consolidado7].[Fecha de Compromiso]" caption="Fecha de Compromiso" attribute="1" defaultMemberUniqueName="[Consolidado7].[Fecha de Compromiso].[All]" allUniqueName="[Consolidado7].[Fecha de Compromiso].[All]" dimensionUniqueName="[Consolidado7]" displayFolder="" count="0" memberValueDatatype="130" unbalanced="0"/>
    <cacheHierarchy uniqueName="[Consolidado7].[Notas sobre Plan de accion]" caption="Notas sobre Plan de accion" attribute="1" defaultMemberUniqueName="[Consolidado7].[Notas sobre Plan de accion].[All]" allUniqueName="[Consolidado7].[Notas sobre Plan de accion].[All]" dimensionUniqueName="[Consolidado7]" displayFolder="" count="0" memberValueDatatype="130" unbalanced="0"/>
    <cacheHierarchy uniqueName="[Consolidado7].[Estatus]" caption="Estatus" attribute="1" defaultMemberUniqueName="[Consolidado7].[Estatus].[All]" allUniqueName="[Consolidado7].[Estatus].[All]" dimensionUniqueName="[Consolidado7]" displayFolder="" count="0" memberValueDatatype="130" unbalanced="0"/>
    <cacheHierarchy uniqueName="[Consolidado7].[Probado Por]" caption="Probado Por" attribute="1" defaultMemberUniqueName="[Consolidado7].[Probado Por].[All]" allUniqueName="[Consolidado7].[Probado Por].[All]" dimensionUniqueName="[Consolidado7]" displayFolder="" count="0" memberValueDatatype="130" unbalanced="0"/>
    <cacheHierarchy uniqueName="[Consolidado7].[Resultado Re Test]" caption="Resultado Re Test" attribute="1" defaultMemberUniqueName="[Consolidado7].[Resultado Re Test].[All]" allUniqueName="[Consolidado7].[Resultado Re Test].[All]" dimensionUniqueName="[Consolidado7]" displayFolder="" count="2" memberValueDatatype="130" unbalanced="0">
      <fieldsUsage count="2">
        <fieldUsage x="-1"/>
        <fieldUsage x="1"/>
      </fieldsUsage>
    </cacheHierarchy>
    <cacheHierarchy uniqueName="[Consolidado7].[Notas de impedimento]" caption="Notas de impedimento" attribute="1" defaultMemberUniqueName="[Consolidado7].[Notas de impedimento].[All]" allUniqueName="[Consolidado7].[Notas de impedimento].[All]" dimensionUniqueName="[Consolidado7]" displayFolder="" count="0" memberValueDatatype="130" unbalanced="0"/>
    <cacheHierarchy uniqueName="[Consolidado7].[Fecha de recepcion]" caption="Fecha de recepcion" attribute="1" time="1" defaultMemberUniqueName="[Consolidado7].[Fecha de recepcion].[All]" allUniqueName="[Consolidado7].[Fecha de recepcion].[All]" dimensionUniqueName="[Consolidado7]" displayFolder="" count="0" memberValueDatatype="7" unbalanced="0"/>
    <cacheHierarchy uniqueName="[Consolidado7].[Veces en Re Test]" caption="Veces en Re Test" attribute="1" defaultMemberUniqueName="[Consolidado7].[Veces en Re Test].[All]" allUniqueName="[Consolidado7].[Veces en Re Test].[All]" dimensionUniqueName="[Consolidado7]" displayFolder="" count="2" memberValueDatatype="20" unbalanced="0">
      <fieldsUsage count="2">
        <fieldUsage x="-1"/>
        <fieldUsage x="2"/>
      </fieldsUsage>
    </cacheHierarchy>
    <cacheHierarchy uniqueName="[Consolidado7].[PonderacionInformeVulnerabilidad]" caption="PonderacionInformeVulnerabilidad" attribute="1" defaultMemberUniqueName="[Consolidado7].[PonderacionInformeVulnerabilidad].[All]" allUniqueName="[Consolidado7].[PonderacionInformeVulnerabilidad].[All]" dimensionUniqueName="[Consolidado7]" displayFolder="" count="0" memberValueDatatype="130" unbalanced="0"/>
    <cacheHierarchy uniqueName="[Consolidado7].[Nombre informe de pentest]" caption="Nombre informe de pentest" attribute="1" defaultMemberUniqueName="[Consolidado7].[Nombre informe de pentest].[All]" allUniqueName="[Consolidado7].[Nombre informe de pentest].[All]" dimensionUniqueName="[Consolidado7]" displayFolder="" count="2" memberValueDatatype="130" unbalanced="0">
      <fieldsUsage count="2">
        <fieldUsage x="-1"/>
        <fieldUsage x="4"/>
      </fieldsUsage>
    </cacheHierarchy>
    <cacheHierarchy uniqueName="[Consolidado7].[Proveedor]" caption="Proveedor" attribute="1" defaultMemberUniqueName="[Consolidado7].[Proveedor].[All]" allUniqueName="[Consolidado7].[Proveedor].[All]" dimensionUniqueName="[Consolidado7]" displayFolder="" count="0" memberValueDatatype="130" unbalanced="0"/>
    <cacheHierarchy uniqueName="[Consolidado7].[Activos afectados]" caption="Activos afectados" attribute="1" defaultMemberUniqueName="[Consolidado7].[Activos afectados].[All]" allUniqueName="[Consolidado7].[Activos afectados].[All]" dimensionUniqueName="[Consolidado7]" displayFolder="" count="0" memberValueDatatype="130" unbalanced="0"/>
    <cacheHierarchy uniqueName="[Consolidado7].[Fecha Hallazgo (Year)]" caption="Fecha Hallazgo (Year)" attribute="1" defaultMemberUniqueName="[Consolidado7].[Fecha Hallazgo (Year)].[All]" allUniqueName="[Consolidado7].[Fecha Hallazgo (Year)].[All]" dimensionUniqueName="[Consolidado7]" displayFolder="" count="0" memberValueDatatype="130" unbalanced="0"/>
    <cacheHierarchy uniqueName="[Consolidado7].[Fecha Hallazgo (Quarter)]" caption="Fecha Hallazgo (Quarter)" attribute="1" defaultMemberUniqueName="[Consolidado7].[Fecha Hallazgo (Quarter)].[All]" allUniqueName="[Consolidado7].[Fecha Hallazgo (Quarter)].[All]" dimensionUniqueName="[Consolidado7]" displayFolder="" count="0" memberValueDatatype="130" unbalanced="0"/>
    <cacheHierarchy uniqueName="[Consolidado7].[Fecha Hallazgo (Month)]" caption="Fecha Hallazgo (Month)" attribute="1" defaultMemberUniqueName="[Consolidado7].[Fecha Hallazgo (Month)].[All]" allUniqueName="[Consolidado7].[Fecha Hallazgo (Month)].[All]" dimensionUniqueName="[Consolidado7]" displayFolder="" count="0" memberValueDatatype="130" unbalanced="0"/>
    <cacheHierarchy uniqueName="[Consolidado7].[Fecha Hallazgo (Month Index)]" caption="Fecha Hallazgo (Month Index)" attribute="1" defaultMemberUniqueName="[Consolidado7].[Fecha Hallazgo (Month Index)].[All]" allUniqueName="[Consolidado7].[Fecha Hallazgo (Month Index)].[All]" dimensionUniqueName="[Consolidado7]" displayFolder="" count="0" memberValueDatatype="20" unbalanced="0" hidden="1"/>
    <cacheHierarchy uniqueName="[Measures].[__XL_Count Consolidado7]" caption="__XL_Count Consolidado7" measure="1" displayFolder="" measureGroup="Consolidado7" count="0" hidden="1"/>
    <cacheHierarchy uniqueName="[Measures].[__No measures defined]" caption="__No measures defined" measure="1" displayFolder="" count="0" hidden="1"/>
    <cacheHierarchy uniqueName="[Measures].[Count of Vulnerabilidad]" caption="Count of Vulnerabilidad" measure="1" displayFolder="" measureGroup="Consolidado7"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2">
    <dimension name="Consolidado7" uniqueName="[Consolidado7]" caption="Consolidado7"/>
    <dimension measure="1" name="Measures" uniqueName="[Measures]" caption="Measures"/>
  </dimensions>
  <measureGroups count="1">
    <measureGroup name="Consolidado7" caption="Consolidado7"/>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UDES HERNANDEZ, BHD" refreshedDate="46091.455202546298" backgroundQuery="1" createdVersion="8" refreshedVersion="8" minRefreshableVersion="3" recordCount="0" supportSubquery="1" supportAdvancedDrill="1" xr:uid="{DD0A671B-9E36-4D16-94D5-12A4172F4D5E}">
  <cacheSource type="external" connectionId="2"/>
  <cacheFields count="4">
    <cacheField name="[Consolidado7].[Severidad].[Severidad]" caption="Severidad" numFmtId="0" hierarchy="5" level="1">
      <sharedItems count="4">
        <s v="Alta"/>
        <s v="Baja"/>
        <s v="Critica"/>
        <s v="Media"/>
      </sharedItems>
    </cacheField>
    <cacheField name="[Measures].[Count of Vulnerabilidad]" caption="Count of Vulnerabilidad" numFmtId="0" hierarchy="28" level="32767"/>
    <cacheField name="[Consolidado7].[Fecha Hallazgo].[Fecha Hallazgo]" caption="Fecha Hallazgo" numFmtId="0" level="1">
      <sharedItems containsSemiMixedTypes="0" containsNonDate="0" containsString="0"/>
    </cacheField>
    <cacheField name="[Consolidado7].[Nombre informe de pentest].[Nombre informe de pentest]" caption="Nombre informe de pentest" numFmtId="0" hierarchy="19" level="1">
      <sharedItems containsSemiMixedTypes="0" containsNonDate="0" containsString="0"/>
    </cacheField>
  </cacheFields>
  <cacheHierarchies count="29">
    <cacheHierarchy uniqueName="[Consolidado7].[Fecha Hallazgo]" caption="Fecha Hallazgo" attribute="1" time="1" defaultMemberUniqueName="[Consolidado7].[Fecha Hallazgo].[All]" allUniqueName="[Consolidado7].[Fecha Hallazgo].[All]" dimensionUniqueName="[Consolidado7]" displayFolder="" count="2" memberValueDatatype="7" unbalanced="0">
      <fieldsUsage count="2">
        <fieldUsage x="-1"/>
        <fieldUsage x="2"/>
      </fieldsUsage>
    </cacheHierarchy>
    <cacheHierarchy uniqueName="[Consolidado7].[Institucion]" caption="Institucion" attribute="1" defaultMemberUniqueName="[Consolidado7].[Institucion].[All]" allUniqueName="[Consolidado7].[Institucion].[All]" dimensionUniqueName="[Consolidado7]" displayFolder="" count="0" memberValueDatatype="130" unbalanced="0"/>
    <cacheHierarchy uniqueName="[Consolidado7].[Aplicacion]" caption="Aplicacion" attribute="1" defaultMemberUniqueName="[Consolidado7].[Aplicacion].[All]" allUniqueName="[Consolidado7].[Aplicacion].[All]" dimensionUniqueName="[Consolidado7]" displayFolder="" count="0" memberValueDatatype="130" unbalanced="0"/>
    <cacheHierarchy uniqueName="[Consolidado7].[Vulnerabilidad]" caption="Vulnerabilidad" attribute="1" defaultMemberUniqueName="[Consolidado7].[Vulnerabilidad].[All]" allUniqueName="[Consolidado7].[Vulnerabilidad].[All]" dimensionUniqueName="[Consolidado7]" displayFolder="" count="0" memberValueDatatype="130" unbalanced="0"/>
    <cacheHierarchy uniqueName="[Consolidado7].[Recomendaciones]" caption="Recomendaciones" attribute="1" defaultMemberUniqueName="[Consolidado7].[Recomendaciones].[All]" allUniqueName="[Consolidado7].[Recomendaciones].[All]" dimensionUniqueName="[Consolidado7]" displayFolder="" count="0" memberValueDatatype="130" unbalanced="0"/>
    <cacheHierarchy uniqueName="[Consolidado7].[Severidad]" caption="Severidad" attribute="1" defaultMemberUniqueName="[Consolidado7].[Severidad].[All]" allUniqueName="[Consolidado7].[Severidad].[All]" dimensionUniqueName="[Consolidado7]" displayFolder="" count="2" memberValueDatatype="130" unbalanced="0">
      <fieldsUsage count="2">
        <fieldUsage x="-1"/>
        <fieldUsage x="0"/>
      </fieldsUsage>
    </cacheHierarchy>
    <cacheHierarchy uniqueName="[Consolidado7].[Notas]" caption="Notas" attribute="1" defaultMemberUniqueName="[Consolidado7].[Notas].[All]" allUniqueName="[Consolidado7].[Notas].[All]" dimensionUniqueName="[Consolidado7]" displayFolder="" count="0" memberValueDatatype="130" unbalanced="0"/>
    <cacheHierarchy uniqueName="[Consolidado7].[Riesgo Asociado]" caption="Riesgo Asociado" attribute="1" defaultMemberUniqueName="[Consolidado7].[Riesgo Asociado].[All]" allUniqueName="[Consolidado7].[Riesgo Asociado].[All]" dimensionUniqueName="[Consolidado7]" displayFolder="" count="0" memberValueDatatype="130" unbalanced="0"/>
    <cacheHierarchy uniqueName="[Consolidado7].[Descripcion del riesgo]" caption="Descripcion del riesgo" attribute="1" defaultMemberUniqueName="[Consolidado7].[Descripcion del riesgo].[All]" allUniqueName="[Consolidado7].[Descripcion del riesgo].[All]" dimensionUniqueName="[Consolidado7]" displayFolder="" count="0" memberValueDatatype="130" unbalanced="0"/>
    <cacheHierarchy uniqueName="[Consolidado7].[Responsable]" caption="Responsable" attribute="1" defaultMemberUniqueName="[Consolidado7].[Responsable].[All]" allUniqueName="[Consolidado7].[Responsable].[All]" dimensionUniqueName="[Consolidado7]" displayFolder="" count="0" memberValueDatatype="130" unbalanced="0"/>
    <cacheHierarchy uniqueName="[Consolidado7].[Fecha de Compromiso]" caption="Fecha de Compromiso" attribute="1" defaultMemberUniqueName="[Consolidado7].[Fecha de Compromiso].[All]" allUniqueName="[Consolidado7].[Fecha de Compromiso].[All]" dimensionUniqueName="[Consolidado7]" displayFolder="" count="0" memberValueDatatype="130" unbalanced="0"/>
    <cacheHierarchy uniqueName="[Consolidado7].[Notas sobre Plan de accion]" caption="Notas sobre Plan de accion" attribute="1" defaultMemberUniqueName="[Consolidado7].[Notas sobre Plan de accion].[All]" allUniqueName="[Consolidado7].[Notas sobre Plan de accion].[All]" dimensionUniqueName="[Consolidado7]" displayFolder="" count="0" memberValueDatatype="130" unbalanced="0"/>
    <cacheHierarchy uniqueName="[Consolidado7].[Estatus]" caption="Estatus" attribute="1" defaultMemberUniqueName="[Consolidado7].[Estatus].[All]" allUniqueName="[Consolidado7].[Estatus].[All]" dimensionUniqueName="[Consolidado7]" displayFolder="" count="0" memberValueDatatype="130" unbalanced="0"/>
    <cacheHierarchy uniqueName="[Consolidado7].[Probado Por]" caption="Probado Por" attribute="1" defaultMemberUniqueName="[Consolidado7].[Probado Por].[All]" allUniqueName="[Consolidado7].[Probado Por].[All]" dimensionUniqueName="[Consolidado7]" displayFolder="" count="0" memberValueDatatype="130" unbalanced="0"/>
    <cacheHierarchy uniqueName="[Consolidado7].[Resultado Re Test]" caption="Resultado Re Test" attribute="1" defaultMemberUniqueName="[Consolidado7].[Resultado Re Test].[All]" allUniqueName="[Consolidado7].[Resultado Re Test].[All]" dimensionUniqueName="[Consolidado7]" displayFolder="" count="0" memberValueDatatype="130" unbalanced="0"/>
    <cacheHierarchy uniqueName="[Consolidado7].[Notas de impedimento]" caption="Notas de impedimento" attribute="1" defaultMemberUniqueName="[Consolidado7].[Notas de impedimento].[All]" allUniqueName="[Consolidado7].[Notas de impedimento].[All]" dimensionUniqueName="[Consolidado7]" displayFolder="" count="0" memberValueDatatype="130" unbalanced="0"/>
    <cacheHierarchy uniqueName="[Consolidado7].[Fecha de recepcion]" caption="Fecha de recepcion" attribute="1" time="1" defaultMemberUniqueName="[Consolidado7].[Fecha de recepcion].[All]" allUniqueName="[Consolidado7].[Fecha de recepcion].[All]" dimensionUniqueName="[Consolidado7]" displayFolder="" count="0" memberValueDatatype="7" unbalanced="0"/>
    <cacheHierarchy uniqueName="[Consolidado7].[Veces en Re Test]" caption="Veces en Re Test" attribute="1" defaultMemberUniqueName="[Consolidado7].[Veces en Re Test].[All]" allUniqueName="[Consolidado7].[Veces en Re Test].[All]" dimensionUniqueName="[Consolidado7]" displayFolder="" count="0" memberValueDatatype="20" unbalanced="0"/>
    <cacheHierarchy uniqueName="[Consolidado7].[PonderacionInformeVulnerabilidad]" caption="PonderacionInformeVulnerabilidad" attribute="1" defaultMemberUniqueName="[Consolidado7].[PonderacionInformeVulnerabilidad].[All]" allUniqueName="[Consolidado7].[PonderacionInformeVulnerabilidad].[All]" dimensionUniqueName="[Consolidado7]" displayFolder="" count="0" memberValueDatatype="130" unbalanced="0"/>
    <cacheHierarchy uniqueName="[Consolidado7].[Nombre informe de pentest]" caption="Nombre informe de pentest" attribute="1" defaultMemberUniqueName="[Consolidado7].[Nombre informe de pentest].[All]" allUniqueName="[Consolidado7].[Nombre informe de pentest].[All]" dimensionUniqueName="[Consolidado7]" displayFolder="" count="2" memberValueDatatype="130" unbalanced="0">
      <fieldsUsage count="2">
        <fieldUsage x="-1"/>
        <fieldUsage x="3"/>
      </fieldsUsage>
    </cacheHierarchy>
    <cacheHierarchy uniqueName="[Consolidado7].[Proveedor]" caption="Proveedor" attribute="1" defaultMemberUniqueName="[Consolidado7].[Proveedor].[All]" allUniqueName="[Consolidado7].[Proveedor].[All]" dimensionUniqueName="[Consolidado7]" displayFolder="" count="0" memberValueDatatype="130" unbalanced="0"/>
    <cacheHierarchy uniqueName="[Consolidado7].[Activos afectados]" caption="Activos afectados" attribute="1" defaultMemberUniqueName="[Consolidado7].[Activos afectados].[All]" allUniqueName="[Consolidado7].[Activos afectados].[All]" dimensionUniqueName="[Consolidado7]" displayFolder="" count="0" memberValueDatatype="130" unbalanced="0"/>
    <cacheHierarchy uniqueName="[Consolidado7].[Fecha Hallazgo (Year)]" caption="Fecha Hallazgo (Year)" attribute="1" defaultMemberUniqueName="[Consolidado7].[Fecha Hallazgo (Year)].[All]" allUniqueName="[Consolidado7].[Fecha Hallazgo (Year)].[All]" dimensionUniqueName="[Consolidado7]" displayFolder="" count="0" memberValueDatatype="130" unbalanced="0"/>
    <cacheHierarchy uniqueName="[Consolidado7].[Fecha Hallazgo (Quarter)]" caption="Fecha Hallazgo (Quarter)" attribute="1" defaultMemberUniqueName="[Consolidado7].[Fecha Hallazgo (Quarter)].[All]" allUniqueName="[Consolidado7].[Fecha Hallazgo (Quarter)].[All]" dimensionUniqueName="[Consolidado7]" displayFolder="" count="0" memberValueDatatype="130" unbalanced="0"/>
    <cacheHierarchy uniqueName="[Consolidado7].[Fecha Hallazgo (Month)]" caption="Fecha Hallazgo (Month)" attribute="1" defaultMemberUniqueName="[Consolidado7].[Fecha Hallazgo (Month)].[All]" allUniqueName="[Consolidado7].[Fecha Hallazgo (Month)].[All]" dimensionUniqueName="[Consolidado7]" displayFolder="" count="0" memberValueDatatype="130" unbalanced="0"/>
    <cacheHierarchy uniqueName="[Consolidado7].[Fecha Hallazgo (Month Index)]" caption="Fecha Hallazgo (Month Index)" attribute="1" defaultMemberUniqueName="[Consolidado7].[Fecha Hallazgo (Month Index)].[All]" allUniqueName="[Consolidado7].[Fecha Hallazgo (Month Index)].[All]" dimensionUniqueName="[Consolidado7]" displayFolder="" count="0" memberValueDatatype="20" unbalanced="0" hidden="1"/>
    <cacheHierarchy uniqueName="[Measures].[__XL_Count Consolidado7]" caption="__XL_Count Consolidado7" measure="1" displayFolder="" measureGroup="Consolidado7" count="0" hidden="1"/>
    <cacheHierarchy uniqueName="[Measures].[__No measures defined]" caption="__No measures defined" measure="1" displayFolder="" count="0" hidden="1"/>
    <cacheHierarchy uniqueName="[Measures].[Count of Vulnerabilidad]" caption="Count of Vulnerabilidad" measure="1" displayFolder="" measureGroup="Consolidado7"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name="Consolidado7" uniqueName="[Consolidado7]" caption="Consolidado7"/>
    <dimension measure="1" name="Measures" uniqueName="[Measures]" caption="Measures"/>
  </dimensions>
  <measureGroups count="1">
    <measureGroup name="Consolidado7" caption="Consolidado7"/>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UDES HERNANDEZ, BHD" refreshedDate="46091.508767939813" backgroundQuery="1" createdVersion="8" refreshedVersion="8" minRefreshableVersion="3" recordCount="0" supportSubquery="1" supportAdvancedDrill="1" xr:uid="{955B65CC-E715-4364-BD9D-F35AA6801D49}">
  <cacheSource type="external" connectionId="2"/>
  <cacheFields count="6">
    <cacheField name="[Consolidado7].[Vulnerabilidad].[Vulnerabilidad]" caption="Vulnerabilidad" numFmtId="0" hierarchy="3" level="1">
      <sharedItems count="61">
        <s v="Divulgación de secreto del proveedor en token JWT"/>
        <s v="Falta de Protección contra Replay Attacks"/>
        <s v="Falta de validación en flujo de confirmación de transacción"/>
        <s v="Inyección SQL en el campo “idBusiness”"/>
        <s v="Inyección SQL en múltiples rutas utilizando token JWT malformado"/>
        <s v="Password Spraying debido a restricción inadecuada  de intentos de autenticación excesivos"/>
        <s v="Seguridad por Oscuridad en Uso de Encriptación Client-Side"/>
        <s v="Suplantación de usuario a través del endpoint /proveedores/ autenticacion"/>
        <s v="Suplantación de usuario mediante manipulación de token JWT"/>
        <s v="Transacciones en cuentas arbitrarias en el Endpoint de Pago"/>
        <s v="Bypass de validación de identidad para generación de PIN Pesos"/>
        <s v="Control no autorizado sobre la gestión de enlaces de pago de cuentas arbitrarias"/>
        <s v="Divulgación de Datos de Empresas de Terceros por Falta de Autorización en Administración de Usuarios"/>
        <s v="Falta de validación de correspondencia entre cédula y correo en flujo OTP"/>
        <s v="Flujo Inseguro de Onboarding por Falta de Validación de Identidad para Creación de Usuarios"/>
        <s v="Bypass de Restricción de Sesiones Concurrentes para Evadir Límites de Acceso Simultáneo"/>
        <s v="Password spraying debido a restricción inadecuada de intentos de autenticación excesivos"/>
        <s v="Acceso no autenticado al historial de transacciones mediante transaction-history"/>
        <s v="Omisión del token 2FA Keycard en cambios de información personal, opciones de seguridad y otras funcionalidades"/>
        <s v="Protección Anti Emulación/Virtualización insuficiente"/>
        <s v="Manipulación de parámetros en transacciones financieras"/>
        <s v="Acceso a funcionalidades no autorizadas a través de modificación de XML de permisos" u="1"/>
        <s v="Despliegue inseguro de software desde carpeta compartida permite ejecución de código malicioso" u="1"/>
        <s v="Diseño inseguro permite compromiso total del sistema mediante evasión de validaciones mediante manipulación de código" u="1"/>
        <s v="Diseño inseguro permite evadir control de autenticación resultando en acceso ilegitimo a la aplicación" u="1"/>
        <s v="Exposición de archivos de de configuración en recursos compartidos" u="1"/>
        <s v="Exposición de Java RMI sin cifrado permite manipulación de objetos en ataques MiTM" u="1"/>
        <s v="Falta de token de autenticación permite secuestro de sesión de usuario sin credenciales" u="1"/>
        <s v="Inyección SQL no autenticada permite exfiltración de datos, robo de Hash Net-NTLMV2 y ejecución arbitraria de comandos" u="1"/>
        <s v="Llave fija para desencriptar credenciales de usuarios de base de datos permite escalamiento de privilegios dentro de la aplicación" u="1"/>
        <s v="Ataque de degradado Net-NTLM hacia activos con SMBv1 permite_x000a_escalamiento de privilegios y volcado de credenciales de dominio" u="1"/>
        <s v="Credenciales expuestas en recurso compartido permiten acceso no_x000a_autorizado y compromiso de servidor SQL" u="1"/>
        <s v="Credenciales filtradas de portales internos en desarrollo" u="1"/>
        <s v="Envenenamiento de MDNS permite captura de autenticación Net-NTLMv2" u="1"/>
        <s v="Falta de protección de LSA resulta en robo de credenciales y_x000a_escalamiento de privilegios en el dominio" u="1"/>
        <s v="Reutilización de contraseñas de administrador local en múltiples_x000a_equipos del dominio" u="1"/>
        <s v="Validación insuficiente en proceso de firma de certificados digitales (CSR)" u="1"/>
        <s v="Evasión de los Controles de Restricción de Ejecución (SRP) en la Estación Segura Utilizada para Operar SWIFT" u="1"/>
        <s v="Diseño inseguro permite obviar captcha en aplicación interna Bank_x000a_Office" u="1"/>
        <s v="Comunicación en texto plano entre aplicación y servidor SQL expone datos sensibles" u="1"/>
        <s v="Consulta no autenticada de estado y vinculación de clientes" u="1"/>
        <s v="Exposición de credenciales Oracle en archivo de configuración XML" u="1"/>
        <s v="Control de Acceso de Redes Insuficiente" u="1"/>
        <s v="Divulgación de Datos de Cliente en Servicio de Estados de Cuenta" u="1"/>
        <s v="Escalamiento de Privilegios y Compromiso del Dominio por Exposición de Credenciales" u="1"/>
        <s v="Exposición de Multicast DNS (mDNS): Ataque NTLM Relay para Obtención de Acceso Inicial" u="1"/>
        <s v="Exposición del puerto UDP 53 permite evadir portal cautivo y acceso a Internet" u="1"/>
        <s v="Eliminación de remesas de otros corresponsales" u="1"/>
        <s v="Enumeración de corresponsales" u="1"/>
        <s v="Falta de validación de corresponsal permite creación de remesas a nombre de otro corresponsal" u="1"/>
        <s v="implementación deficiente de mTLS" u="1"/>
        <s v="Inyección SQL basada en tiempo y condicionales booleanas en parámetro orderNumber en la funcionalidad de consulta de remesas" u="1"/>
        <s v="Manipulación de parámetros permite creación de remesas fraudulentas" u="1"/>
        <s v="Uso ilimitado de access token dentro del scope_at permite creación y eliminación de remesas sin restricción" u="1"/>
        <s v="Sobrescritura de Datos a través de Inclusión Manual de UUID en el Cuerpo de la Solicitud" u="1"/>
        <s v="Configuración Permisiva de CORS Permite Solicitudes Autenticadas desde Dominios No Confiables" u="1"/>
        <s v="Emisión Insegura de Token JWT mediante Enumeración de Identidad" u="1"/>
        <s v="Acceso de Entrada No Restringido hacia Estaciones de Trabajo SWIFT (Falta de Segmentación y Exposición de Servicios Remotos)" u="1"/>
        <s v="Acceso de Salida No Restringido desde estaciones de trabajo de SWIFT" u="1"/>
        <s v="Hardening insuficiente: Falta de Proteccion de LSA" u="1"/>
        <s v="Valor predeterminado inseguro “KEYSTORE_PASSWORD” en SWIFT Web Alliance" u="1"/>
      </sharedItems>
    </cacheField>
    <cacheField name="[Consolidado7].[Nombre informe de pentest].[Nombre informe de pentest]" caption="Nombre informe de pentest" numFmtId="0" hierarchy="19" level="1">
      <sharedItems count="18">
        <s v="10.BHD -  Penetration Testing Boton de Pago"/>
        <s v="4.Emulación de Adversarios a Controles de Transferencias en Canales Electrónicos"/>
        <s v="6.Primera emulacion de adversario BHD_Canales Electronicos"/>
        <s v="7.BHD - Informe Penetration Testing Mobile Banking Personal 1"/>
        <s v="BHD - Pentest Móvil MBE"/>
        <s v="BHD - Pentest Web IBE"/>
        <s v="5.Primera emulacion de adversario BHD_Portales Web" u="1"/>
        <s v="13.Emulación de Adversarios a Puesto de Bolsa BHD" u="1"/>
        <s v="2.Emulación de Adversarios al Endurecimiento de Active Directory del BHD" u="1"/>
        <s v="Prueba de Penetración a API de Corresponsales de Remesas" u="1"/>
        <s v="Prueba de Penetración del Marco de Seguridad de Clientes SWIFT para Banco BHD" u="1"/>
        <s v="1.Primera emulacion de adversario BHD_Active Directory" u="1"/>
        <s v="11.Pruebas de Penetración a SIFI Cloud" u="1"/>
        <s v="12.Pruebas de Penetración a Superficies de Ataque_x000a_Externas e Internas de Banco BHD Panamá" u="1"/>
        <s v="BHD - Certificate Onboarding Certificados Financieros 2" u="1"/>
        <s v="3.BHD - Informe de Emulación de Adversario - Joyas de la Corona" u="1"/>
        <s v="Prueba de Penetración a API de Generación y Consulta de Código QR" u="1"/>
        <s v="Prueba de Penetración a Aplicación Web VEO para Validación de Ofertas Pre-Aprobada" u="1"/>
      </sharedItems>
    </cacheField>
    <cacheField name="[Consolidado7].[Resultado Re Test].[Resultado Re Test]" caption="Resultado Re Test" numFmtId="0" hierarchy="14" level="1">
      <sharedItems count="1">
        <s v="Vulnerable"/>
      </sharedItems>
    </cacheField>
    <cacheField name="[Consolidado7].[Severidad].[Severidad]" caption="Severidad" numFmtId="0" hierarchy="5" level="1">
      <sharedItems count="2">
        <s v="Critica"/>
        <s v="Alta"/>
      </sharedItems>
    </cacheField>
    <cacheField name="[Measures].[Count of Vulnerabilidad]" caption="Count of Vulnerabilidad" numFmtId="0" hierarchy="28" level="32767"/>
    <cacheField name="[Consolidado7].[Fecha Hallazgo].[Fecha Hallazgo]" caption="Fecha Hallazgo" numFmtId="0" level="1">
      <sharedItems containsSemiMixedTypes="0" containsNonDate="0" containsString="0"/>
    </cacheField>
  </cacheFields>
  <cacheHierarchies count="29">
    <cacheHierarchy uniqueName="[Consolidado7].[Fecha Hallazgo]" caption="Fecha Hallazgo" attribute="1" time="1" defaultMemberUniqueName="[Consolidado7].[Fecha Hallazgo].[All]" allUniqueName="[Consolidado7].[Fecha Hallazgo].[All]" dimensionUniqueName="[Consolidado7]" displayFolder="" count="2" memberValueDatatype="7" unbalanced="0">
      <fieldsUsage count="2">
        <fieldUsage x="-1"/>
        <fieldUsage x="5"/>
      </fieldsUsage>
    </cacheHierarchy>
    <cacheHierarchy uniqueName="[Consolidado7].[Institucion]" caption="Institucion" attribute="1" defaultMemberUniqueName="[Consolidado7].[Institucion].[All]" allUniqueName="[Consolidado7].[Institucion].[All]" dimensionUniqueName="[Consolidado7]" displayFolder="" count="0" memberValueDatatype="130" unbalanced="0"/>
    <cacheHierarchy uniqueName="[Consolidado7].[Aplicacion]" caption="Aplicacion" attribute="1" defaultMemberUniqueName="[Consolidado7].[Aplicacion].[All]" allUniqueName="[Consolidado7].[Aplicacion].[All]" dimensionUniqueName="[Consolidado7]" displayFolder="" count="0" memberValueDatatype="130" unbalanced="0"/>
    <cacheHierarchy uniqueName="[Consolidado7].[Vulnerabilidad]" caption="Vulnerabilidad" attribute="1" defaultMemberUniqueName="[Consolidado7].[Vulnerabilidad].[All]" allUniqueName="[Consolidado7].[Vulnerabilidad].[All]" dimensionUniqueName="[Consolidado7]" displayFolder="" count="2" memberValueDatatype="130" unbalanced="0">
      <fieldsUsage count="2">
        <fieldUsage x="-1"/>
        <fieldUsage x="0"/>
      </fieldsUsage>
    </cacheHierarchy>
    <cacheHierarchy uniqueName="[Consolidado7].[Recomendaciones]" caption="Recomendaciones" attribute="1" defaultMemberUniqueName="[Consolidado7].[Recomendaciones].[All]" allUniqueName="[Consolidado7].[Recomendaciones].[All]" dimensionUniqueName="[Consolidado7]" displayFolder="" count="0" memberValueDatatype="130" unbalanced="0"/>
    <cacheHierarchy uniqueName="[Consolidado7].[Severidad]" caption="Severidad" attribute="1" defaultMemberUniqueName="[Consolidado7].[Severidad].[All]" allUniqueName="[Consolidado7].[Severidad].[All]" dimensionUniqueName="[Consolidado7]" displayFolder="" count="2" memberValueDatatype="130" unbalanced="0">
      <fieldsUsage count="2">
        <fieldUsage x="-1"/>
        <fieldUsage x="3"/>
      </fieldsUsage>
    </cacheHierarchy>
    <cacheHierarchy uniqueName="[Consolidado7].[Notas]" caption="Notas" attribute="1" defaultMemberUniqueName="[Consolidado7].[Notas].[All]" allUniqueName="[Consolidado7].[Notas].[All]" dimensionUniqueName="[Consolidado7]" displayFolder="" count="0" memberValueDatatype="130" unbalanced="0"/>
    <cacheHierarchy uniqueName="[Consolidado7].[Riesgo Asociado]" caption="Riesgo Asociado" attribute="1" defaultMemberUniqueName="[Consolidado7].[Riesgo Asociado].[All]" allUniqueName="[Consolidado7].[Riesgo Asociado].[All]" dimensionUniqueName="[Consolidado7]" displayFolder="" count="0" memberValueDatatype="130" unbalanced="0"/>
    <cacheHierarchy uniqueName="[Consolidado7].[Descripcion del riesgo]" caption="Descripcion del riesgo" attribute="1" defaultMemberUniqueName="[Consolidado7].[Descripcion del riesgo].[All]" allUniqueName="[Consolidado7].[Descripcion del riesgo].[All]" dimensionUniqueName="[Consolidado7]" displayFolder="" count="0" memberValueDatatype="130" unbalanced="0"/>
    <cacheHierarchy uniqueName="[Consolidado7].[Responsable]" caption="Responsable" attribute="1" defaultMemberUniqueName="[Consolidado7].[Responsable].[All]" allUniqueName="[Consolidado7].[Responsable].[All]" dimensionUniqueName="[Consolidado7]" displayFolder="" count="0" memberValueDatatype="130" unbalanced="0"/>
    <cacheHierarchy uniqueName="[Consolidado7].[Fecha de Compromiso]" caption="Fecha de Compromiso" attribute="1" defaultMemberUniqueName="[Consolidado7].[Fecha de Compromiso].[All]" allUniqueName="[Consolidado7].[Fecha de Compromiso].[All]" dimensionUniqueName="[Consolidado7]" displayFolder="" count="0" memberValueDatatype="130" unbalanced="0"/>
    <cacheHierarchy uniqueName="[Consolidado7].[Notas sobre Plan de accion]" caption="Notas sobre Plan de accion" attribute="1" defaultMemberUniqueName="[Consolidado7].[Notas sobre Plan de accion].[All]" allUniqueName="[Consolidado7].[Notas sobre Plan de accion].[All]" dimensionUniqueName="[Consolidado7]" displayFolder="" count="0" memberValueDatatype="130" unbalanced="0"/>
    <cacheHierarchy uniqueName="[Consolidado7].[Estatus]" caption="Estatus" attribute="1" defaultMemberUniqueName="[Consolidado7].[Estatus].[All]" allUniqueName="[Consolidado7].[Estatus].[All]" dimensionUniqueName="[Consolidado7]" displayFolder="" count="0" memberValueDatatype="130" unbalanced="0"/>
    <cacheHierarchy uniqueName="[Consolidado7].[Probado Por]" caption="Probado Por" attribute="1" defaultMemberUniqueName="[Consolidado7].[Probado Por].[All]" allUniqueName="[Consolidado7].[Probado Por].[All]" dimensionUniqueName="[Consolidado7]" displayFolder="" count="0" memberValueDatatype="130" unbalanced="0"/>
    <cacheHierarchy uniqueName="[Consolidado7].[Resultado Re Test]" caption="Resultado Re Test" attribute="1" defaultMemberUniqueName="[Consolidado7].[Resultado Re Test].[All]" allUniqueName="[Consolidado7].[Resultado Re Test].[All]" dimensionUniqueName="[Consolidado7]" displayFolder="" count="2" memberValueDatatype="130" unbalanced="0">
      <fieldsUsage count="2">
        <fieldUsage x="-1"/>
        <fieldUsage x="2"/>
      </fieldsUsage>
    </cacheHierarchy>
    <cacheHierarchy uniqueName="[Consolidado7].[Notas de impedimento]" caption="Notas de impedimento" attribute="1" defaultMemberUniqueName="[Consolidado7].[Notas de impedimento].[All]" allUniqueName="[Consolidado7].[Notas de impedimento].[All]" dimensionUniqueName="[Consolidado7]" displayFolder="" count="0" memberValueDatatype="130" unbalanced="0"/>
    <cacheHierarchy uniqueName="[Consolidado7].[Fecha de recepcion]" caption="Fecha de recepcion" attribute="1" time="1" defaultMemberUniqueName="[Consolidado7].[Fecha de recepcion].[All]" allUniqueName="[Consolidado7].[Fecha de recepcion].[All]" dimensionUniqueName="[Consolidado7]" displayFolder="" count="0" memberValueDatatype="7" unbalanced="0"/>
    <cacheHierarchy uniqueName="[Consolidado7].[Veces en Re Test]" caption="Veces en Re Test" attribute="1" defaultMemberUniqueName="[Consolidado7].[Veces en Re Test].[All]" allUniqueName="[Consolidado7].[Veces en Re Test].[All]" dimensionUniqueName="[Consolidado7]" displayFolder="" count="0" memberValueDatatype="20" unbalanced="0"/>
    <cacheHierarchy uniqueName="[Consolidado7].[PonderacionInformeVulnerabilidad]" caption="PonderacionInformeVulnerabilidad" attribute="1" defaultMemberUniqueName="[Consolidado7].[PonderacionInformeVulnerabilidad].[All]" allUniqueName="[Consolidado7].[PonderacionInformeVulnerabilidad].[All]" dimensionUniqueName="[Consolidado7]" displayFolder="" count="0" memberValueDatatype="130" unbalanced="0"/>
    <cacheHierarchy uniqueName="[Consolidado7].[Nombre informe de pentest]" caption="Nombre informe de pentest" attribute="1" defaultMemberUniqueName="[Consolidado7].[Nombre informe de pentest].[All]" allUniqueName="[Consolidado7].[Nombre informe de pentest].[All]" dimensionUniqueName="[Consolidado7]" displayFolder="" count="2" memberValueDatatype="130" unbalanced="0">
      <fieldsUsage count="2">
        <fieldUsage x="-1"/>
        <fieldUsage x="1"/>
      </fieldsUsage>
    </cacheHierarchy>
    <cacheHierarchy uniqueName="[Consolidado7].[Proveedor]" caption="Proveedor" attribute="1" defaultMemberUniqueName="[Consolidado7].[Proveedor].[All]" allUniqueName="[Consolidado7].[Proveedor].[All]" dimensionUniqueName="[Consolidado7]" displayFolder="" count="0" memberValueDatatype="130" unbalanced="0"/>
    <cacheHierarchy uniqueName="[Consolidado7].[Activos afectados]" caption="Activos afectados" attribute="1" defaultMemberUniqueName="[Consolidado7].[Activos afectados].[All]" allUniqueName="[Consolidado7].[Activos afectados].[All]" dimensionUniqueName="[Consolidado7]" displayFolder="" count="0" memberValueDatatype="130" unbalanced="0"/>
    <cacheHierarchy uniqueName="[Consolidado7].[Fecha Hallazgo (Year)]" caption="Fecha Hallazgo (Year)" attribute="1" defaultMemberUniqueName="[Consolidado7].[Fecha Hallazgo (Year)].[All]" allUniqueName="[Consolidado7].[Fecha Hallazgo (Year)].[All]" dimensionUniqueName="[Consolidado7]" displayFolder="" count="0" memberValueDatatype="130" unbalanced="0"/>
    <cacheHierarchy uniqueName="[Consolidado7].[Fecha Hallazgo (Quarter)]" caption="Fecha Hallazgo (Quarter)" attribute="1" defaultMemberUniqueName="[Consolidado7].[Fecha Hallazgo (Quarter)].[All]" allUniqueName="[Consolidado7].[Fecha Hallazgo (Quarter)].[All]" dimensionUniqueName="[Consolidado7]" displayFolder="" count="0" memberValueDatatype="130" unbalanced="0"/>
    <cacheHierarchy uniqueName="[Consolidado7].[Fecha Hallazgo (Month)]" caption="Fecha Hallazgo (Month)" attribute="1" defaultMemberUniqueName="[Consolidado7].[Fecha Hallazgo (Month)].[All]" allUniqueName="[Consolidado7].[Fecha Hallazgo (Month)].[All]" dimensionUniqueName="[Consolidado7]" displayFolder="" count="0" memberValueDatatype="130" unbalanced="0"/>
    <cacheHierarchy uniqueName="[Consolidado7].[Fecha Hallazgo (Month Index)]" caption="Fecha Hallazgo (Month Index)" attribute="1" defaultMemberUniqueName="[Consolidado7].[Fecha Hallazgo (Month Index)].[All]" allUniqueName="[Consolidado7].[Fecha Hallazgo (Month Index)].[All]" dimensionUniqueName="[Consolidado7]" displayFolder="" count="0" memberValueDatatype="20" unbalanced="0" hidden="1"/>
    <cacheHierarchy uniqueName="[Measures].[__XL_Count Consolidado7]" caption="__XL_Count Consolidado7" measure="1" displayFolder="" measureGroup="Consolidado7" count="0" hidden="1"/>
    <cacheHierarchy uniqueName="[Measures].[__No measures defined]" caption="__No measures defined" measure="1" displayFolder="" count="0" hidden="1"/>
    <cacheHierarchy uniqueName="[Measures].[Count of Vulnerabilidad]" caption="Count of Vulnerabilidad" measure="1" displayFolder="" measureGroup="Consolidado7" count="0" oneField="1" hidden="1">
      <fieldsUsage count="1">
        <fieldUsage x="4"/>
      </fieldsUsage>
      <extLst>
        <ext xmlns:x15="http://schemas.microsoft.com/office/spreadsheetml/2010/11/main" uri="{B97F6D7D-B522-45F9-BDA1-12C45D357490}">
          <x15:cacheHierarchy aggregatedColumn="3"/>
        </ext>
      </extLst>
    </cacheHierarchy>
  </cacheHierarchies>
  <kpis count="0"/>
  <dimensions count="2">
    <dimension name="Consolidado7" uniqueName="[Consolidado7]" caption="Consolidado7"/>
    <dimension measure="1" name="Measures" uniqueName="[Measures]" caption="Measures"/>
  </dimensions>
  <measureGroups count="1">
    <measureGroup name="Consolidado7" caption="Consolidado7"/>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UDES HERNANDEZ, BHD" refreshedDate="46069.465651620369" backgroundQuery="1" createdVersion="3" refreshedVersion="8" minRefreshableVersion="3" recordCount="0" supportSubquery="1" supportAdvancedDrill="1" xr:uid="{7066131B-5D75-4E1A-A418-670C78EC305B}">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Consolidado7].[Fecha Hallazgo]" caption="Fecha Hallazgo" attribute="1" time="1" defaultMemberUniqueName="[Consolidado7].[Fecha Hallazgo].[All]" allUniqueName="[Consolidado7].[Fecha Hallazgo].[All]" dimensionUniqueName="[Consolidado7]" displayFolder="" count="0" memberValueDatatype="7" unbalanced="0"/>
    <cacheHierarchy uniqueName="[Consolidado7].[Institucion]" caption="Institucion" attribute="1" defaultMemberUniqueName="[Consolidado7].[Institucion].[All]" allUniqueName="[Consolidado7].[Institucion].[All]" dimensionUniqueName="[Consolidado7]" displayFolder="" count="0" memberValueDatatype="130" unbalanced="0"/>
    <cacheHierarchy uniqueName="[Consolidado7].[Aplicacion]" caption="Aplicacion" attribute="1" defaultMemberUniqueName="[Consolidado7].[Aplicacion].[All]" allUniqueName="[Consolidado7].[Aplicacion].[All]" dimensionUniqueName="[Consolidado7]" displayFolder="" count="0" memberValueDatatype="130" unbalanced="0"/>
    <cacheHierarchy uniqueName="[Consolidado7].[Vulnerabilidad]" caption="Vulnerabilidad" attribute="1" defaultMemberUniqueName="[Consolidado7].[Vulnerabilidad].[All]" allUniqueName="[Consolidado7].[Vulnerabilidad].[All]" dimensionUniqueName="[Consolidado7]" displayFolder="" count="0" memberValueDatatype="130" unbalanced="0"/>
    <cacheHierarchy uniqueName="[Consolidado7].[Recomendaciones]" caption="Recomendaciones" attribute="1" defaultMemberUniqueName="[Consolidado7].[Recomendaciones].[All]" allUniqueName="[Consolidado7].[Recomendaciones].[All]" dimensionUniqueName="[Consolidado7]" displayFolder="" count="0" memberValueDatatype="130" unbalanced="0"/>
    <cacheHierarchy uniqueName="[Consolidado7].[Severidad]" caption="Severidad" attribute="1" defaultMemberUniqueName="[Consolidado7].[Severidad].[All]" allUniqueName="[Consolidado7].[Severidad].[All]" dimensionUniqueName="[Consolidado7]" displayFolder="" count="0" memberValueDatatype="130" unbalanced="0"/>
    <cacheHierarchy uniqueName="[Consolidado7].[Notas]" caption="Notas" attribute="1" defaultMemberUniqueName="[Consolidado7].[Notas].[All]" allUniqueName="[Consolidado7].[Notas].[All]" dimensionUniqueName="[Consolidado7]" displayFolder="" count="0" memberValueDatatype="130" unbalanced="0"/>
    <cacheHierarchy uniqueName="[Consolidado7].[Riesgo Asociado]" caption="Riesgo Asociado" attribute="1" defaultMemberUniqueName="[Consolidado7].[Riesgo Asociado].[All]" allUniqueName="[Consolidado7].[Riesgo Asociado].[All]" dimensionUniqueName="[Consolidado7]" displayFolder="" count="0" memberValueDatatype="130" unbalanced="0"/>
    <cacheHierarchy uniqueName="[Consolidado7].[Descripcion del riesgo]" caption="Descripcion del riesgo" attribute="1" defaultMemberUniqueName="[Consolidado7].[Descripcion del riesgo].[All]" allUniqueName="[Consolidado7].[Descripcion del riesgo].[All]" dimensionUniqueName="[Consolidado7]" displayFolder="" count="0" memberValueDatatype="130" unbalanced="0"/>
    <cacheHierarchy uniqueName="[Consolidado7].[Responsable]" caption="Responsable" attribute="1" defaultMemberUniqueName="[Consolidado7].[Responsable].[All]" allUniqueName="[Consolidado7].[Responsable].[All]" dimensionUniqueName="[Consolidado7]" displayFolder="" count="0" memberValueDatatype="130" unbalanced="0"/>
    <cacheHierarchy uniqueName="[Consolidado7].[Fecha de Compromiso]" caption="Fecha de Compromiso" attribute="1" defaultMemberUniqueName="[Consolidado7].[Fecha de Compromiso].[All]" allUniqueName="[Consolidado7].[Fecha de Compromiso].[All]" dimensionUniqueName="[Consolidado7]" displayFolder="" count="0" memberValueDatatype="130" unbalanced="0"/>
    <cacheHierarchy uniqueName="[Consolidado7].[Notas sobre Plan de accion]" caption="Notas sobre Plan de accion" attribute="1" defaultMemberUniqueName="[Consolidado7].[Notas sobre Plan de accion].[All]" allUniqueName="[Consolidado7].[Notas sobre Plan de accion].[All]" dimensionUniqueName="[Consolidado7]" displayFolder="" count="0" memberValueDatatype="130" unbalanced="0"/>
    <cacheHierarchy uniqueName="[Consolidado7].[Estatus]" caption="Estatus" attribute="1" defaultMemberUniqueName="[Consolidado7].[Estatus].[All]" allUniqueName="[Consolidado7].[Estatus].[All]" dimensionUniqueName="[Consolidado7]" displayFolder="" count="0" memberValueDatatype="130" unbalanced="0"/>
    <cacheHierarchy uniqueName="[Consolidado7].[Probado Por]" caption="Probado Por" attribute="1" defaultMemberUniqueName="[Consolidado7].[Probado Por].[All]" allUniqueName="[Consolidado7].[Probado Por].[All]" dimensionUniqueName="[Consolidado7]" displayFolder="" count="0" memberValueDatatype="130" unbalanced="0"/>
    <cacheHierarchy uniqueName="[Consolidado7].[Resultado Re Test]" caption="Resultado Re Test" attribute="1" defaultMemberUniqueName="[Consolidado7].[Resultado Re Test].[All]" allUniqueName="[Consolidado7].[Resultado Re Test].[All]" dimensionUniqueName="[Consolidado7]" displayFolder="" count="0" memberValueDatatype="130" unbalanced="0"/>
    <cacheHierarchy uniqueName="[Consolidado7].[Notas de impedimento]" caption="Notas de impedimento" attribute="1" defaultMemberUniqueName="[Consolidado7].[Notas de impedimento].[All]" allUniqueName="[Consolidado7].[Notas de impedimento].[All]" dimensionUniqueName="[Consolidado7]" displayFolder="" count="0" memberValueDatatype="130" unbalanced="0"/>
    <cacheHierarchy uniqueName="[Consolidado7].[Fecha de recepcion]" caption="Fecha de recepcion" attribute="1" time="1" defaultMemberUniqueName="[Consolidado7].[Fecha de recepcion].[All]" allUniqueName="[Consolidado7].[Fecha de recepcion].[All]" dimensionUniqueName="[Consolidado7]" displayFolder="" count="0" memberValueDatatype="7" unbalanced="0"/>
    <cacheHierarchy uniqueName="[Consolidado7].[Veces en Re Test]" caption="Veces en Re Test" attribute="1" defaultMemberUniqueName="[Consolidado7].[Veces en Re Test].[All]" allUniqueName="[Consolidado7].[Veces en Re Test].[All]" dimensionUniqueName="[Consolidado7]" displayFolder="" count="0" memberValueDatatype="20" unbalanced="0"/>
    <cacheHierarchy uniqueName="[Consolidado7].[PonderacionInformeVulnerabilidad]" caption="PonderacionInformeVulnerabilidad" attribute="1" defaultMemberUniqueName="[Consolidado7].[PonderacionInformeVulnerabilidad].[All]" allUniqueName="[Consolidado7].[PonderacionInformeVulnerabilidad].[All]" dimensionUniqueName="[Consolidado7]" displayFolder="" count="0" memberValueDatatype="130" unbalanced="0"/>
    <cacheHierarchy uniqueName="[Consolidado7].[Nombre informe de pentest]" caption="Nombre informe de pentest" attribute="1" defaultMemberUniqueName="[Consolidado7].[Nombre informe de pentest].[All]" allUniqueName="[Consolidado7].[Nombre informe de pentest].[All]" dimensionUniqueName="[Consolidado7]" displayFolder="" count="2" memberValueDatatype="130" unbalanced="0"/>
    <cacheHierarchy uniqueName="[Consolidado7].[Proveedor]" caption="Proveedor" attribute="1" defaultMemberUniqueName="[Consolidado7].[Proveedor].[All]" allUniqueName="[Consolidado7].[Proveedor].[All]" dimensionUniqueName="[Consolidado7]" displayFolder="" count="0" memberValueDatatype="130" unbalanced="0"/>
    <cacheHierarchy uniqueName="[Consolidado7].[Activos afectados]" caption="Activos afectados" attribute="1" defaultMemberUniqueName="[Consolidado7].[Activos afectados].[All]" allUniqueName="[Consolidado7].[Activos afectados].[All]" dimensionUniqueName="[Consolidado7]" displayFolder="" count="0" memberValueDatatype="130" unbalanced="0"/>
    <cacheHierarchy uniqueName="[Consolidado7].[Fecha Hallazgo (Year)]" caption="Fecha Hallazgo (Year)" attribute="1" defaultMemberUniqueName="[Consolidado7].[Fecha Hallazgo (Year)].[All]" allUniqueName="[Consolidado7].[Fecha Hallazgo (Year)].[All]" dimensionUniqueName="[Consolidado7]" displayFolder="" count="0" memberValueDatatype="130" unbalanced="0"/>
    <cacheHierarchy uniqueName="[Consolidado7].[Fecha Hallazgo (Quarter)]" caption="Fecha Hallazgo (Quarter)" attribute="1" defaultMemberUniqueName="[Consolidado7].[Fecha Hallazgo (Quarter)].[All]" allUniqueName="[Consolidado7].[Fecha Hallazgo (Quarter)].[All]" dimensionUniqueName="[Consolidado7]" displayFolder="" count="0" memberValueDatatype="130" unbalanced="0"/>
    <cacheHierarchy uniqueName="[Consolidado7].[Fecha Hallazgo (Month)]" caption="Fecha Hallazgo (Month)" attribute="1" defaultMemberUniqueName="[Consolidado7].[Fecha Hallazgo (Month)].[All]" allUniqueName="[Consolidado7].[Fecha Hallazgo (Month)].[All]" dimensionUniqueName="[Consolidado7]" displayFolder="" count="0" memberValueDatatype="130" unbalanced="0"/>
    <cacheHierarchy uniqueName="[Consolidado7].[Fecha Hallazgo (Month Index)]" caption="Fecha Hallazgo (Month Index)" attribute="1" defaultMemberUniqueName="[Consolidado7].[Fecha Hallazgo (Month Index)].[All]" allUniqueName="[Consolidado7].[Fecha Hallazgo (Month Index)].[All]" dimensionUniqueName="[Consolidado7]" displayFolder="" count="0" memberValueDatatype="20" unbalanced="0" hidden="1"/>
    <cacheHierarchy uniqueName="[Measures].[__XL_Count Consolidado7]" caption="__XL_Count Consolidado7" measure="1" displayFolder="" measureGroup="Consolidado7" count="0" hidden="1"/>
    <cacheHierarchy uniqueName="[Measures].[__No measures defined]" caption="__No measures defined" measure="1" displayFolder="" count="0" hidden="1"/>
    <cacheHierarchy uniqueName="[Measures].[Count of Vulnerabilidad]" caption="Count of Vulnerabilidad" measure="1" displayFolder="" measureGroup="Consolidado7"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49782145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UDES HERNANDEZ, BHD" refreshedDate="46069.465655902779" backgroundQuery="1" createdVersion="3" refreshedVersion="8" minRefreshableVersion="3" recordCount="0" supportSubquery="1" supportAdvancedDrill="1" xr:uid="{EB6449FC-AD01-4541-8E76-4EEA2A1C1500}">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Consolidado7].[Fecha Hallazgo]" caption="Fecha Hallazgo" attribute="1" time="1" defaultMemberUniqueName="[Consolidado7].[Fecha Hallazgo].[All]" allUniqueName="[Consolidado7].[Fecha Hallazgo].[All]" dimensionUniqueName="[Consolidado7]" displayFolder="" count="2" memberValueDatatype="7" unbalanced="0"/>
    <cacheHierarchy uniqueName="[Consolidado7].[Institucion]" caption="Institucion" attribute="1" defaultMemberUniqueName="[Consolidado7].[Institucion].[All]" allUniqueName="[Consolidado7].[Institucion].[All]" dimensionUniqueName="[Consolidado7]" displayFolder="" count="0" memberValueDatatype="130" unbalanced="0"/>
    <cacheHierarchy uniqueName="[Consolidado7].[Aplicacion]" caption="Aplicacion" attribute="1" defaultMemberUniqueName="[Consolidado7].[Aplicacion].[All]" allUniqueName="[Consolidado7].[Aplicacion].[All]" dimensionUniqueName="[Consolidado7]" displayFolder="" count="0" memberValueDatatype="130" unbalanced="0"/>
    <cacheHierarchy uniqueName="[Consolidado7].[Vulnerabilidad]" caption="Vulnerabilidad" attribute="1" defaultMemberUniqueName="[Consolidado7].[Vulnerabilidad].[All]" allUniqueName="[Consolidado7].[Vulnerabilidad].[All]" dimensionUniqueName="[Consolidado7]" displayFolder="" count="0" memberValueDatatype="130" unbalanced="0"/>
    <cacheHierarchy uniqueName="[Consolidado7].[Recomendaciones]" caption="Recomendaciones" attribute="1" defaultMemberUniqueName="[Consolidado7].[Recomendaciones].[All]" allUniqueName="[Consolidado7].[Recomendaciones].[All]" dimensionUniqueName="[Consolidado7]" displayFolder="" count="0" memberValueDatatype="130" unbalanced="0"/>
    <cacheHierarchy uniqueName="[Consolidado7].[Severidad]" caption="Severidad" attribute="1" defaultMemberUniqueName="[Consolidado7].[Severidad].[All]" allUniqueName="[Consolidado7].[Severidad].[All]" dimensionUniqueName="[Consolidado7]" displayFolder="" count="0" memberValueDatatype="130" unbalanced="0"/>
    <cacheHierarchy uniqueName="[Consolidado7].[Notas]" caption="Notas" attribute="1" defaultMemberUniqueName="[Consolidado7].[Notas].[All]" allUniqueName="[Consolidado7].[Notas].[All]" dimensionUniqueName="[Consolidado7]" displayFolder="" count="0" memberValueDatatype="130" unbalanced="0"/>
    <cacheHierarchy uniqueName="[Consolidado7].[Riesgo Asociado]" caption="Riesgo Asociado" attribute="1" defaultMemberUniqueName="[Consolidado7].[Riesgo Asociado].[All]" allUniqueName="[Consolidado7].[Riesgo Asociado].[All]" dimensionUniqueName="[Consolidado7]" displayFolder="" count="0" memberValueDatatype="130" unbalanced="0"/>
    <cacheHierarchy uniqueName="[Consolidado7].[Descripcion del riesgo]" caption="Descripcion del riesgo" attribute="1" defaultMemberUniqueName="[Consolidado7].[Descripcion del riesgo].[All]" allUniqueName="[Consolidado7].[Descripcion del riesgo].[All]" dimensionUniqueName="[Consolidado7]" displayFolder="" count="0" memberValueDatatype="130" unbalanced="0"/>
    <cacheHierarchy uniqueName="[Consolidado7].[Responsable]" caption="Responsable" attribute="1" defaultMemberUniqueName="[Consolidado7].[Responsable].[All]" allUniqueName="[Consolidado7].[Responsable].[All]" dimensionUniqueName="[Consolidado7]" displayFolder="" count="0" memberValueDatatype="130" unbalanced="0"/>
    <cacheHierarchy uniqueName="[Consolidado7].[Fecha de Compromiso]" caption="Fecha de Compromiso" attribute="1" defaultMemberUniqueName="[Consolidado7].[Fecha de Compromiso].[All]" allUniqueName="[Consolidado7].[Fecha de Compromiso].[All]" dimensionUniqueName="[Consolidado7]" displayFolder="" count="0" memberValueDatatype="130" unbalanced="0"/>
    <cacheHierarchy uniqueName="[Consolidado7].[Notas sobre Plan de accion]" caption="Notas sobre Plan de accion" attribute="1" defaultMemberUniqueName="[Consolidado7].[Notas sobre Plan de accion].[All]" allUniqueName="[Consolidado7].[Notas sobre Plan de accion].[All]" dimensionUniqueName="[Consolidado7]" displayFolder="" count="0" memberValueDatatype="130" unbalanced="0"/>
    <cacheHierarchy uniqueName="[Consolidado7].[Estatus]" caption="Estatus" attribute="1" defaultMemberUniqueName="[Consolidado7].[Estatus].[All]" allUniqueName="[Consolidado7].[Estatus].[All]" dimensionUniqueName="[Consolidado7]" displayFolder="" count="0" memberValueDatatype="130" unbalanced="0"/>
    <cacheHierarchy uniqueName="[Consolidado7].[Probado Por]" caption="Probado Por" attribute="1" defaultMemberUniqueName="[Consolidado7].[Probado Por].[All]" allUniqueName="[Consolidado7].[Probado Por].[All]" dimensionUniqueName="[Consolidado7]" displayFolder="" count="0" memberValueDatatype="130" unbalanced="0"/>
    <cacheHierarchy uniqueName="[Consolidado7].[Resultado Re Test]" caption="Resultado Re Test" attribute="1" defaultMemberUniqueName="[Consolidado7].[Resultado Re Test].[All]" allUniqueName="[Consolidado7].[Resultado Re Test].[All]" dimensionUniqueName="[Consolidado7]" displayFolder="" count="0" memberValueDatatype="130" unbalanced="0"/>
    <cacheHierarchy uniqueName="[Consolidado7].[Notas de impedimento]" caption="Notas de impedimento" attribute="1" defaultMemberUniqueName="[Consolidado7].[Notas de impedimento].[All]" allUniqueName="[Consolidado7].[Notas de impedimento].[All]" dimensionUniqueName="[Consolidado7]" displayFolder="" count="0" memberValueDatatype="130" unbalanced="0"/>
    <cacheHierarchy uniqueName="[Consolidado7].[Fecha de recepcion]" caption="Fecha de recepcion" attribute="1" time="1" defaultMemberUniqueName="[Consolidado7].[Fecha de recepcion].[All]" allUniqueName="[Consolidado7].[Fecha de recepcion].[All]" dimensionUniqueName="[Consolidado7]" displayFolder="" count="0" memberValueDatatype="7" unbalanced="0"/>
    <cacheHierarchy uniqueName="[Consolidado7].[Veces en Re Test]" caption="Veces en Re Test" attribute="1" defaultMemberUniqueName="[Consolidado7].[Veces en Re Test].[All]" allUniqueName="[Consolidado7].[Veces en Re Test].[All]" dimensionUniqueName="[Consolidado7]" displayFolder="" count="0" memberValueDatatype="20" unbalanced="0"/>
    <cacheHierarchy uniqueName="[Consolidado7].[PonderacionInformeVulnerabilidad]" caption="PonderacionInformeVulnerabilidad" attribute="1" defaultMemberUniqueName="[Consolidado7].[PonderacionInformeVulnerabilidad].[All]" allUniqueName="[Consolidado7].[PonderacionInformeVulnerabilidad].[All]" dimensionUniqueName="[Consolidado7]" displayFolder="" count="0" memberValueDatatype="130" unbalanced="0"/>
    <cacheHierarchy uniqueName="[Consolidado7].[Nombre informe de pentest]" caption="Nombre informe de pentest" attribute="1" defaultMemberUniqueName="[Consolidado7].[Nombre informe de pentest].[All]" allUniqueName="[Consolidado7].[Nombre informe de pentest].[All]" dimensionUniqueName="[Consolidado7]" displayFolder="" count="0" memberValueDatatype="130" unbalanced="0"/>
    <cacheHierarchy uniqueName="[Consolidado7].[Proveedor]" caption="Proveedor" attribute="1" defaultMemberUniqueName="[Consolidado7].[Proveedor].[All]" allUniqueName="[Consolidado7].[Proveedor].[All]" dimensionUniqueName="[Consolidado7]" displayFolder="" count="0" memberValueDatatype="130" unbalanced="0"/>
    <cacheHierarchy uniqueName="[Consolidado7].[Activos afectados]" caption="Activos afectados" attribute="1" defaultMemberUniqueName="[Consolidado7].[Activos afectados].[All]" allUniqueName="[Consolidado7].[Activos afectados].[All]" dimensionUniqueName="[Consolidado7]" displayFolder="" count="0" memberValueDatatype="130" unbalanced="0"/>
    <cacheHierarchy uniqueName="[Consolidado7].[Fecha Hallazgo (Year)]" caption="Fecha Hallazgo (Year)" attribute="1" defaultMemberUniqueName="[Consolidado7].[Fecha Hallazgo (Year)].[All]" allUniqueName="[Consolidado7].[Fecha Hallazgo (Year)].[All]" dimensionUniqueName="[Consolidado7]" displayFolder="" count="0" memberValueDatatype="130" unbalanced="0"/>
    <cacheHierarchy uniqueName="[Consolidado7].[Fecha Hallazgo (Quarter)]" caption="Fecha Hallazgo (Quarter)" attribute="1" defaultMemberUniqueName="[Consolidado7].[Fecha Hallazgo (Quarter)].[All]" allUniqueName="[Consolidado7].[Fecha Hallazgo (Quarter)].[All]" dimensionUniqueName="[Consolidado7]" displayFolder="" count="0" memberValueDatatype="130" unbalanced="0"/>
    <cacheHierarchy uniqueName="[Consolidado7].[Fecha Hallazgo (Month)]" caption="Fecha Hallazgo (Month)" attribute="1" defaultMemberUniqueName="[Consolidado7].[Fecha Hallazgo (Month)].[All]" allUniqueName="[Consolidado7].[Fecha Hallazgo (Month)].[All]" dimensionUniqueName="[Consolidado7]" displayFolder="" count="0" memberValueDatatype="130" unbalanced="0"/>
    <cacheHierarchy uniqueName="[Consolidado7].[Fecha Hallazgo (Month Index)]" caption="Fecha Hallazgo (Month Index)" attribute="1" defaultMemberUniqueName="[Consolidado7].[Fecha Hallazgo (Month Index)].[All]" allUniqueName="[Consolidado7].[Fecha Hallazgo (Month Index)].[All]" dimensionUniqueName="[Consolidado7]" displayFolder="" count="0" memberValueDatatype="20" unbalanced="0" hidden="1"/>
    <cacheHierarchy uniqueName="[Measures].[__XL_Count Consolidado7]" caption="__XL_Count Consolidado7" measure="1" displayFolder="" measureGroup="Consolidado7" count="0" hidden="1"/>
    <cacheHierarchy uniqueName="[Measures].[__No measures defined]" caption="__No measures defined" measure="1" displayFolder="" count="0" hidden="1"/>
    <cacheHierarchy uniqueName="[Measures].[Count of Vulnerabilidad]" caption="Count of Vulnerabilidad" measure="1" displayFolder="" measureGroup="Consolidado7"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pivotCacheId="19558335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6">
  <r>
    <x v="0"/>
    <s v="BHD"/>
    <x v="0"/>
    <x v="0"/>
    <s v="&gt;Aplicar la autenticación SMTP._x000a_&gt;Deshabilite la retransmisión SMTP."/>
    <x v="0"/>
    <m/>
    <m/>
    <m/>
    <m/>
    <m/>
    <m/>
    <s v="Cerrado"/>
    <s v="Pentraze"/>
    <s v="Corregido"/>
    <m/>
    <m/>
    <n v="1"/>
    <s v="VULN_PA_VCC_3"/>
    <s v="8.Primera emulacion de adversario BHD_Vulnerabilidades y Cambios de Configuraciones"/>
    <s v="Pentraze"/>
    <m/>
  </r>
  <r>
    <x v="0"/>
    <s v="BHD"/>
    <x v="0"/>
    <x v="1"/>
    <s v="&gt;Evite almacenar datos sensibles en el frontend de la página y mantener toda la lógica crítica en el backend."/>
    <x v="0"/>
    <m/>
    <m/>
    <m/>
    <m/>
    <m/>
    <m/>
    <s v="Pendiente"/>
    <s v="Pentraze"/>
    <s v="Vulnerable"/>
    <s v="Export list for 172.17.106.107:_x000a_/CIS (everyone)"/>
    <m/>
    <n v="2"/>
    <s v="VULN_PA_VCC_2"/>
    <s v="8.Primera emulacion de adversario BHD_Vulnerabilidades y Cambios de Configuraciones"/>
    <s v="Pentraze"/>
    <m/>
  </r>
  <r>
    <x v="0"/>
    <s v="BHD"/>
    <x v="1"/>
    <x v="2"/>
    <s v="&gt;Es posible habilitar la transacción entre cuentas sin tener que pasar por el proceso 2FA del Key Card. Al momento de iniciar sesión, es posible alterar la respuesta por parte del servidor durante la petición HTTP GET /bhd/api/v2.1/personal/web/client-info y colocar el parámetro allowTransactionWithoutKeyCard igual a 1."/>
    <x v="1"/>
    <m/>
    <m/>
    <m/>
    <m/>
    <m/>
    <m/>
    <s v="Cerrado"/>
    <s v="Pentraze"/>
    <s v="Corregido"/>
    <m/>
    <m/>
    <n v="2"/>
    <s v="VULN_PE_CE_1"/>
    <s v="6.Primera emulacion de adversario BHD_Canales Electronicos"/>
    <s v="Pentraze"/>
    <s v="MBP_IBP"/>
  </r>
  <r>
    <x v="0"/>
    <s v="BHD"/>
    <x v="2"/>
    <x v="3"/>
    <s v="&gt;Enforzar esta validación del requerimiento de la tarjeta de claves a nivel de backend."/>
    <x v="0"/>
    <m/>
    <m/>
    <m/>
    <m/>
    <m/>
    <m/>
    <s v="Cerrado"/>
    <s v="Pentraze"/>
    <s v="Corregido"/>
    <m/>
    <d v="2025-01-27T00:00:00"/>
    <n v="2"/>
    <s v="VULN_PE_CE_10"/>
    <s v="6.Primera emulacion de adversario BHD_Canales Electronicos"/>
    <s v="Pentraze"/>
    <s v="IBP"/>
  </r>
  <r>
    <x v="0"/>
    <s v="BHD"/>
    <x v="2"/>
    <x v="4"/>
    <s v="&gt;Implementar controles que verifiquen que el parámetro contactId no pueda ser manipulado o utilizado por usuarios no autorizados para acceder a información de otros clientes"/>
    <x v="0"/>
    <m/>
    <m/>
    <m/>
    <m/>
    <m/>
    <m/>
    <s v="Cerrado"/>
    <s v="Pentraze"/>
    <s v="Corregido"/>
    <m/>
    <m/>
    <n v="3"/>
    <s v="VULN_PE_CE_11"/>
    <s v="6.Primera emulacion de adversario BHD_Canales Electronicos"/>
    <s v="Pentraze"/>
    <s v="IBP"/>
  </r>
  <r>
    <x v="0"/>
    <s v="BHD"/>
    <x v="3"/>
    <x v="5"/>
    <s v="&gt;Implementar enmascaramiento de datos: Asegurar que todos los números de tarjeta de crédito mostrados en las interfaces de usuario estén enmascarados, mostrando solo los primeros y últimos cuatro dígitos, conforme al estándar PCI DSS."/>
    <x v="0"/>
    <m/>
    <m/>
    <m/>
    <m/>
    <m/>
    <m/>
    <s v="Pendiente"/>
    <s v="Pentraze"/>
    <s v="Vulnerable"/>
    <m/>
    <m/>
    <n v="2"/>
    <s v="VULN_PE_CE_12"/>
    <s v="6.Primera emulacion de adversario BHD_Canales Electronicos"/>
    <s v="Pentraze"/>
    <s v="IBP_API-GW"/>
  </r>
  <r>
    <x v="0"/>
    <s v="BHD"/>
    <x v="4"/>
    <x v="6"/>
    <s v="&gt;Asegúrese de que un usuario solo pueda recuperar información de sus propias cuentas."/>
    <x v="0"/>
    <m/>
    <m/>
    <m/>
    <m/>
    <m/>
    <m/>
    <s v="Cerrado"/>
    <s v="Pentraze"/>
    <s v="Corregido"/>
    <m/>
    <m/>
    <n v="1"/>
    <s v="VULN_PE_CE_13"/>
    <s v="6.Primera emulacion de adversario BHD_Canales Electronicos"/>
    <s v="Pentraze"/>
    <s v="IBP_IBE"/>
  </r>
  <r>
    <x v="0"/>
    <s v="BHD"/>
    <x v="5"/>
    <x v="7"/>
    <s v="&gt;Verifica que los inputs cumplan con los formatos esperados (ej. longitud, tipo de datos, patrones específicos) antes de procesarlos; Además de validar en el lado del cliente, realiza siempre la validación en el servidor, ya que el cliente puede ser manipulado."/>
    <x v="0"/>
    <m/>
    <m/>
    <m/>
    <m/>
    <m/>
    <m/>
    <s v="Cerrado"/>
    <s v="Pentraze"/>
    <s v="Corregido"/>
    <m/>
    <m/>
    <n v="2"/>
    <s v="VULN_PE_CE_14"/>
    <s v="6.Primera emulacion de adversario BHD_Canales Electronicos"/>
    <s v="Pentraze"/>
    <s v="TDC Notificaciones API_IBP/IBE"/>
  </r>
  <r>
    <x v="0"/>
    <s v="BHD"/>
    <x v="6"/>
    <x v="8"/>
    <s v="&gt;Configuración específica de origen: Modificar la configuración de CORS para que Access-Control-Allow-Origin no sea un comodín (*) y en su lugar se especifiquen dominios de confianza. Esto asegura que solo los orígenes legítimos puedan realizar solicitudes autenticadas._x000a_&gt;Deshabilitar credenciales para orígenes múltiples: Revisar si el uso de Access-Control-Allow-Credentials: True es necesario. Si es posible, deshabilitar esta opción para prevenir que credenciales sean enviadas junto con solicitudes de orígenes cruzados."/>
    <x v="0"/>
    <m/>
    <m/>
    <m/>
    <m/>
    <m/>
    <m/>
    <s v="Pendiente"/>
    <s v="Pentraze"/>
    <s v="Vulnerable"/>
    <m/>
    <m/>
    <n v="3"/>
    <s v="VULN_PE_CE_15"/>
    <s v="6.Primera emulacion de adversario BHD_Canales Electronicos"/>
    <s v="Pentraze"/>
    <s v="API-GW"/>
  </r>
  <r>
    <x v="0"/>
    <s v="BHD"/>
    <x v="6"/>
    <x v="9"/>
    <s v="&gt;Implementar controles que verifiquen que el parámetro contactId no pueda ser manipulado o utilizado por usuarios no autorizados para acceder a información de otros clientes."/>
    <x v="0"/>
    <m/>
    <m/>
    <m/>
    <m/>
    <m/>
    <m/>
    <s v="Cerrado"/>
    <s v="Pentraze"/>
    <s v="Corregido"/>
    <m/>
    <m/>
    <n v="1"/>
    <s v="VULN_PE_CE_16"/>
    <s v="6.Primera emulacion de adversario BHD_Canales Electronicos"/>
    <s v="Pentraze"/>
    <s v="API-GW"/>
  </r>
  <r>
    <x v="1"/>
    <s v="BHD"/>
    <x v="7"/>
    <x v="10"/>
    <s v="&gt;Eliminar archivos con credenciales en texto plano._x000a_&gt;Rotar inmediatamente las credenciales expuestas._x000a_&gt;Restringir permisos en el recurso compartido._x000a_&gt;Revisar y limitar privilegios de la cuenta afectada."/>
    <x v="1"/>
    <m/>
    <m/>
    <m/>
    <m/>
    <m/>
    <m/>
    <s v="En Proceso"/>
    <m/>
    <s v="Vulnerable"/>
    <m/>
    <m/>
    <n v="0"/>
    <s v="VULN_EA_EAD_1"/>
    <s v="2.Emulación de Adversarios al Endurecimiento de Active Directory del BHD"/>
    <s v="Pentraze"/>
    <s v="Active directory"/>
  </r>
  <r>
    <x v="2"/>
    <s v="Purple Team"/>
    <x v="8"/>
    <x v="11"/>
    <s v="&gt;Deshabilitar mDNS en dispositivos que no lo requieran para reducir la exposición de_x000a_servicios y nombres de host._x000a_&gt;Restringir el uso de NTLM y priorizar protocolos más seguros como Kerberos para evitar_x000a_ataques de retransmisión._x000a_&gt;Implementar SMB Signing y Extended Protection for Authentication (EPA) para_x000a_mitigar ataques NTLM Relay._x000a_&gt;Monitorear y registrar actividad inusual en autenticaciones NTLM para identificar_x000a_posibles intentos de retransmisión."/>
    <x v="2"/>
    <m/>
    <m/>
    <m/>
    <m/>
    <m/>
    <m/>
    <s v="Cerrado"/>
    <s v="Pentraze"/>
    <s v="Corregido"/>
    <m/>
    <m/>
    <n v="4"/>
    <s v="VULN_EA_JC_1"/>
    <s v="3.BHD - Informe de Emulación de Adversario - Joyas de la Corona"/>
    <s v="Pentraze"/>
    <s v="cfbhd.com 172.17.103.57 172.17.103.60 172.17.103.71 172.17.103.78 172.17.104.35 172.17.106.68 172.17.106.97 172.17.52.44 172.17.52.54 172.17.103.142 172.17.103.156 172.17.103.167 172.17.103.220 172.17.103.247 172.17.52.142 172.17.103.249 192.168.237.5"/>
  </r>
  <r>
    <x v="2"/>
    <s v="Purple Team"/>
    <x v="9"/>
    <x v="12"/>
    <m/>
    <x v="0"/>
    <m/>
    <m/>
    <m/>
    <m/>
    <m/>
    <m/>
    <s v="Pendiente"/>
    <s v="Pentraze"/>
    <s v="Vulnerable"/>
    <m/>
    <m/>
    <n v="0"/>
    <s v="VULN_EA_JC_4"/>
    <s v="3.BHD - Informe de Emulación de Adversario - Joyas de la Corona"/>
    <s v="Pentraze"/>
    <s v="Infraestructura de redes/NAC"/>
  </r>
  <r>
    <x v="0"/>
    <s v="BHD"/>
    <x v="10"/>
    <x v="13"/>
    <s v="&gt;Asegúrese de que los mensajes por parte del servidor solo contengan detalles mínimos que sean útiles para el público objetivo y para nadie más"/>
    <x v="0"/>
    <m/>
    <m/>
    <m/>
    <m/>
    <m/>
    <m/>
    <s v="Cerrado"/>
    <s v="Pentraze"/>
    <s v="Corregido"/>
    <m/>
    <d v="2025-06-06T00:00:00"/>
    <n v="4"/>
    <s v="VULN_PE_CE_17"/>
    <s v="6.Primera emulacion de adversario BHD_Canales Electronicos"/>
    <s v="Pentraze"/>
    <s v="MBE"/>
  </r>
  <r>
    <x v="1"/>
    <s v="BHD"/>
    <x v="7"/>
    <x v="14"/>
    <s v="&gt;Configurar la Protección de LSA (RunAsPPL) en todas las máquinas del dominio. (Nota: Solo disponible en versiones de Windows superiores a 8.1 o 2012 R2.)"/>
    <x v="1"/>
    <m/>
    <m/>
    <m/>
    <m/>
    <m/>
    <m/>
    <s v="En Proceso"/>
    <m/>
    <s v="Vulnerable"/>
    <m/>
    <m/>
    <n v="0"/>
    <s v="VULN_EA_EAD_2"/>
    <s v="2.Emulación de Adversarios al Endurecimiento de Active Directory del BHD"/>
    <s v="Pentraze"/>
    <s v="Active directory"/>
  </r>
  <r>
    <x v="1"/>
    <s v="BHD"/>
    <x v="7"/>
    <x v="15"/>
    <s v="&gt;Implementar Microsoft LAPS o Windows LAPS, para generar y rotar automáticamente contraseñas únicas y aleatorias en cada equipo del dominio._x000a_&gt;Restringir el acceso remoto con cuentas locales mediante políticas de grupo."/>
    <x v="1"/>
    <m/>
    <m/>
    <m/>
    <m/>
    <m/>
    <m/>
    <s v="En Proceso"/>
    <m/>
    <s v="Vulnerable"/>
    <m/>
    <m/>
    <n v="0"/>
    <s v="VULN_EA_EAD_3"/>
    <s v="2.Emulación de Adversarios al Endurecimiento de Active Directory del BHD"/>
    <s v="Pentraze"/>
    <s v="Active directory"/>
  </r>
  <r>
    <x v="1"/>
    <s v="BHD"/>
    <x v="7"/>
    <x v="16"/>
    <s v="&gt;Deshabilitar SMBv1: Es fundamental deshabilitar el protocolo SMBv1 en todas las máquinas con sistemas operativos Windows. Microsoft ha deshabilitado por defecto SMBv1 en versiones más recientes, y recomienda su deshabilitación en versiones anteriores debido a sus múltiples vulnerabilidades. Esto se puede lograr a través de directivas de grupo (GPO) para una implementación a nivel de dominio._x000a_&gt;Restringir la Autenticación SMB a NTLMv2: Configurar las políticas de seguridad para que los clientes SMB solo permitan la autenticación con Net-NTLMv2. Esto se puede hacer a través de las opciones de seguridad de la red en la configuración de GPO del dominio."/>
    <x v="1"/>
    <m/>
    <m/>
    <m/>
    <m/>
    <m/>
    <m/>
    <s v="En Proceso"/>
    <m/>
    <s v="Vulnerable"/>
    <m/>
    <m/>
    <n v="0"/>
    <s v="VULN_EA_EAD_4"/>
    <s v="2.Emulación de Adversarios al Endurecimiento de Active Directory del BHD"/>
    <s v="Pentraze"/>
    <s v="Active directory"/>
  </r>
  <r>
    <x v="1"/>
    <s v="BHD"/>
    <x v="7"/>
    <x v="17"/>
    <s v="&gt;Almacenar las credenciales en gestores de contraseñas y evitar almacenamiento de credenciales en los navegadores web._x000a_&gt;Cambiar todas las contraseñas frecuentemente._x000a_&gt;Eliminar las credenciales de todo ex-colaborador de la empresa"/>
    <x v="1"/>
    <m/>
    <m/>
    <m/>
    <m/>
    <m/>
    <m/>
    <s v="En Proceso"/>
    <m/>
    <s v="Vulnerable"/>
    <m/>
    <m/>
    <n v="0"/>
    <s v="VULN_EA_EAD_5"/>
    <s v="2.Emulación de Adversarios al Endurecimiento de Active Directory del BHD"/>
    <s v="Pentraze"/>
    <s v="Active directory"/>
  </r>
  <r>
    <x v="1"/>
    <s v="BHD"/>
    <x v="7"/>
    <x v="18"/>
    <s v="&gt;Deshabilitar el Protocolo mDNS: Desactivar el protocolo mDNS, así como otros protocolos de resolución de nombres inseguros como LLMNR (Link-Local Multicast Name Resolution) y NBT-NS (NetBIOS Name Service), a través de políticas de grupo (GPO) o reglas de Firewall._x000a_&gt;Uso de Autenticación Segura: Priorizar el uso del protocolo de autenticación Kerberos en lugar de NTLMv2."/>
    <x v="1"/>
    <m/>
    <m/>
    <m/>
    <m/>
    <m/>
    <m/>
    <s v="En Proceso"/>
    <m/>
    <s v="Vulnerable"/>
    <m/>
    <m/>
    <n v="0"/>
    <s v="VULN_EA_EAD_6"/>
    <s v="2.Emulación de Adversarios al Endurecimiento de Active Directory del BHD"/>
    <s v="Pentraze"/>
    <s v="Active directory"/>
  </r>
  <r>
    <x v="1"/>
    <s v="BHD"/>
    <x v="7"/>
    <x v="19"/>
    <s v="&gt;Es necesario cambiar la forma en la que las tareas de monitoreo se realizan en la aplicación. En vez de utilizar un usuario dedicado para monitoreo, que introduce una cuenta con privilegios centralizados y conlleva a este tipo de vulnerabilidades, es preferible optar por soluciones que recopilen información relevante de forma directa en el back-end._x000a_&gt;Remover el código fuente del recurso compartido."/>
    <x v="0"/>
    <m/>
    <m/>
    <m/>
    <m/>
    <m/>
    <m/>
    <s v="En Proceso"/>
    <m/>
    <s v="Vulnerable"/>
    <m/>
    <m/>
    <n v="0"/>
    <s v="VULN_EA_EAD_7"/>
    <s v="2.Emulación de Adversarios al Endurecimiento de Active Directory del BHD"/>
    <s v="Pentraze"/>
    <s v="Active directory"/>
  </r>
  <r>
    <x v="2"/>
    <s v="Purple Team"/>
    <x v="11"/>
    <x v="20"/>
    <s v="&gt;Aplicar principios de privilegio mínimo en cuentas de servicio para limitar su impacto en_x000a_caso de compromiso._x000a_&gt;Eliminar credenciales en texto claro dentro de archivos de configuración y utilizar_x000a_métodos seguros de almacenamiento._x000a_&gt;Restringir accesos a recursos compartidos SMB, asegurando que solo cuentas_x000a_autorizadas puedan acceder a archivos sensibles._x000a_&gt;Rotar credenciales comprometidas y reforzar políticas de administración de_x000a_contraseñas."/>
    <x v="2"/>
    <m/>
    <m/>
    <m/>
    <m/>
    <m/>
    <m/>
    <s v="Cerrado"/>
    <s v="Pentraze"/>
    <s v="Corregido"/>
    <m/>
    <d v="2025-03-18T00:00:00"/>
    <n v="3"/>
    <s v="VULN_EA_JC_2"/>
    <s v="3.BHD - Informe de Emulación de Adversario - Joyas de la Corona"/>
    <s v="Pentraze"/>
    <s v="172.17.103.71"/>
  </r>
  <r>
    <x v="2"/>
    <s v="Purple Team"/>
    <x v="12"/>
    <x v="21"/>
    <s v="&gt;Implementar autenticación obligatoria los diferentes controladores de la aplicación para_x000a_restringir el acceso solo a usuarios autorizados._x000a_&gt;Aplicar controles de autorización para garantizar que cada usuario solo pueda consultar_x000a_estados de cuenta según sus permisos._x000a_&gt;Monitorear el acceso y uso del servicio mediante alertas y auditorías periódicas."/>
    <x v="0"/>
    <m/>
    <m/>
    <m/>
    <m/>
    <m/>
    <m/>
    <s v="Cerrado"/>
    <s v="Pentraze"/>
    <s v="Corregido"/>
    <m/>
    <d v="2025-06-13T00:00:00"/>
    <n v="6"/>
    <s v="VULN_EA_JC_3"/>
    <s v="3.BHD - Informe de Emulación de Adversario - Joyas de la Corona"/>
    <s v="Pentraze"/>
    <s v="ECP_BHDLeon.dll"/>
  </r>
  <r>
    <x v="2"/>
    <s v="Purple Team"/>
    <x v="13"/>
    <x v="22"/>
    <m/>
    <x v="0"/>
    <m/>
    <m/>
    <m/>
    <m/>
    <m/>
    <m/>
    <s v="Cerrado"/>
    <s v="Pentraze"/>
    <s v="Corregido"/>
    <m/>
    <m/>
    <n v="1"/>
    <s v="VULN_EA_JC_5"/>
    <s v="3.BHD - Informe de Emulación de Adversario - Joyas de la Corona"/>
    <s v="Pentraze"/>
    <s v=" Wi-Fi de Visitantes"/>
  </r>
  <r>
    <x v="0"/>
    <s v="BHD"/>
    <x v="10"/>
    <x v="23"/>
    <s v="&gt;Asegúrese de que los mensajes por parte del servidor solo contengan detalles mínimos que sean útiles para el público objetivo y para nadie más."/>
    <x v="0"/>
    <m/>
    <m/>
    <m/>
    <m/>
    <m/>
    <m/>
    <s v="Cerrado"/>
    <s v="Pentraze"/>
    <s v="Corregido"/>
    <m/>
    <m/>
    <n v="2"/>
    <s v="VULN_PE_CE_18"/>
    <s v="6.Primera emulacion de adversario BHD_Canales Electronicos"/>
    <s v="Pentraze"/>
    <s v="MBE"/>
  </r>
  <r>
    <x v="0"/>
    <s v="BHD"/>
    <x v="6"/>
    <x v="24"/>
    <s v="&gt;Asegúrese de que los mensajes por parte del servidor solo contengan detalles mínimos que sean útiles para el público objetivo y para nadie más."/>
    <x v="0"/>
    <m/>
    <m/>
    <m/>
    <m/>
    <m/>
    <m/>
    <s v="Cerrado"/>
    <s v="Pentraze"/>
    <s v="Corregido"/>
    <m/>
    <m/>
    <n v="4"/>
    <s v="VULN_PE_CE_19"/>
    <s v="6.Primera emulacion de adversario BHD_Canales Electronicos"/>
    <s v="Pentraze"/>
    <s v="API-GW"/>
  </r>
  <r>
    <x v="3"/>
    <s v="Purple Team"/>
    <x v="14"/>
    <x v="25"/>
    <m/>
    <x v="1"/>
    <m/>
    <m/>
    <m/>
    <m/>
    <m/>
    <m/>
    <s v="Cerrado"/>
    <s v="Pentraze"/>
    <s v="Corregido"/>
    <m/>
    <d v="2025-08-06T00:00:00"/>
    <n v="2"/>
    <s v="VULN_EA_CTCE_6"/>
    <s v="4.Emulación de Adversarios a Controles de Transferencias en Canales Electrónicos"/>
    <s v="Pentraze"/>
    <m/>
  </r>
  <r>
    <x v="4"/>
    <s v="BHD"/>
    <x v="14"/>
    <x v="26"/>
    <m/>
    <x v="2"/>
    <m/>
    <s v="Falta de integridad de la informacion"/>
    <m/>
    <m/>
    <m/>
    <m/>
    <s v="Pendiente"/>
    <m/>
    <s v="Vulnerable"/>
    <m/>
    <m/>
    <n v="0"/>
    <m/>
    <s v="BHD - Pentest Web IBE"/>
    <s v="GBM"/>
    <s v="IBE"/>
  </r>
  <r>
    <x v="0"/>
    <s v="BHD"/>
    <x v="15"/>
    <x v="27"/>
    <s v="&gt;Configurar la aplicación para limitar el número de intentos de inicio de sesión fallidos por dirección IP._x000a_&gt;Requerir al usuario validar un CAPTCHA antes de cada intento de inicio de sesión."/>
    <x v="1"/>
    <m/>
    <m/>
    <m/>
    <m/>
    <m/>
    <m/>
    <s v="Pendiente"/>
    <s v="Pentraze"/>
    <s v="Vulnerable"/>
    <m/>
    <m/>
    <n v="1"/>
    <s v="VULN_PE_CE_2"/>
    <s v="6.Primera emulacion de adversario BHD_Canales Electronicos"/>
    <s v="Pentraze"/>
    <s v="MBP_IBP_MBE_IBE"/>
  </r>
  <r>
    <x v="5"/>
    <s v="BHD"/>
    <x v="0"/>
    <x v="28"/>
    <m/>
    <x v="0"/>
    <m/>
    <m/>
    <m/>
    <m/>
    <m/>
    <m/>
    <s v="Pendiente"/>
    <s v="Pentraze"/>
    <s v="Vulnerable"/>
    <m/>
    <m/>
    <n v="2"/>
    <m/>
    <s v="Vulnerabilidades sueltas"/>
    <m/>
    <m/>
  </r>
  <r>
    <x v="4"/>
    <s v="BHD"/>
    <x v="14"/>
    <x v="29"/>
    <m/>
    <x v="0"/>
    <m/>
    <s v="Ausencia de protección contra ataques cibernético"/>
    <m/>
    <m/>
    <m/>
    <m/>
    <s v="Pendiente"/>
    <m/>
    <s v="Vulnerable"/>
    <m/>
    <m/>
    <n v="0"/>
    <m/>
    <s v="BHD - Pentest Web IBE"/>
    <s v="GBM"/>
    <s v="IBE"/>
  </r>
  <r>
    <x v="4"/>
    <s v="BHD"/>
    <x v="14"/>
    <x v="30"/>
    <m/>
    <x v="3"/>
    <m/>
    <s v="Ausencia de protección contra ataques cibernético"/>
    <m/>
    <m/>
    <m/>
    <m/>
    <s v="Pendiente"/>
    <m/>
    <s v="Vulnerable"/>
    <m/>
    <m/>
    <n v="0"/>
    <m/>
    <s v="BHD - Pentest Web IBE"/>
    <s v="GBM"/>
    <s v="IBE"/>
  </r>
  <r>
    <x v="0"/>
    <s v="BHD"/>
    <x v="10"/>
    <x v="31"/>
    <s v="&gt;Validar del lado del servidor que la compañía enviada corresponde al usuario autenticado."/>
    <x v="0"/>
    <m/>
    <m/>
    <m/>
    <m/>
    <m/>
    <m/>
    <s v="Pendiente"/>
    <s v="Pentraze"/>
    <s v="Vulnerable"/>
    <m/>
    <m/>
    <n v="0"/>
    <s v="VULN_PE_CE_20"/>
    <s v="6.Primera emulacion de adversario BHD_Canales Electronicos"/>
    <s v="Pentraze"/>
    <s v="IBE"/>
  </r>
  <r>
    <x v="0"/>
    <s v="BHD"/>
    <x v="6"/>
    <x v="32"/>
    <s v="&gt;Asegúrese de que un usuario solo pueda recuperar información de sus propias cuentas."/>
    <x v="0"/>
    <m/>
    <m/>
    <m/>
    <m/>
    <m/>
    <m/>
    <s v="Cerrado"/>
    <s v="Pentraze"/>
    <s v="Corregido"/>
    <m/>
    <m/>
    <n v="2"/>
    <s v="VULN_PE_CE_21"/>
    <s v="6.Primera emulacion de adversario BHD_Canales Electronicos"/>
    <s v="Pentraze"/>
    <s v="API-GW"/>
  </r>
  <r>
    <x v="3"/>
    <s v="Purple Team"/>
    <x v="14"/>
    <x v="5"/>
    <s v="&gt;Implementar enmascaramiento de datos: Asegurar que todos los números de tarjeta de crédito mostrados en las interfaces de usuario estén enmascarados, mostrando solo los primeros y últimos cuatro dígitos, conforme al estándar PCI DSS."/>
    <x v="0"/>
    <m/>
    <m/>
    <m/>
    <m/>
    <m/>
    <m/>
    <s v="Pendiente"/>
    <s v="Pentraze"/>
    <s v="Vulnerable"/>
    <m/>
    <m/>
    <n v="2"/>
    <s v="VULN_EA_CTCE_9"/>
    <s v="4.Emulación de Adversarios a Controles de Transferencias en Canales Electrónicos"/>
    <s v="Pentraze"/>
    <s v="IBE"/>
  </r>
  <r>
    <x v="3"/>
    <s v="Purple Team"/>
    <x v="14"/>
    <x v="33"/>
    <m/>
    <x v="1"/>
    <m/>
    <m/>
    <m/>
    <m/>
    <m/>
    <m/>
    <s v="Pendiente"/>
    <s v="Pentraze"/>
    <s v="Vulnerable"/>
    <m/>
    <m/>
    <n v="0"/>
    <s v="VULN_EA_CTCE_12"/>
    <s v="4.Emulación de Adversarios a Controles de Transferencias en Canales Electrónicos"/>
    <m/>
    <m/>
  </r>
  <r>
    <x v="0"/>
    <s v="BHD"/>
    <x v="14"/>
    <x v="34"/>
    <s v="&gt;Asegúrese de que un usuario solo pueda recuperar información de sus propias cuentas."/>
    <x v="3"/>
    <m/>
    <m/>
    <m/>
    <m/>
    <m/>
    <m/>
    <s v="Cerrado"/>
    <s v="Pentraze"/>
    <s v="Corregido"/>
    <m/>
    <m/>
    <n v="1"/>
    <s v="VULN_PE_CE_22"/>
    <s v="6.Primera emulacion de adversario BHD_Canales Electronicos"/>
    <s v="Pentraze"/>
    <s v="IBE"/>
  </r>
  <r>
    <x v="6"/>
    <s v="Fondo"/>
    <x v="16"/>
    <x v="35"/>
    <s v="&gt;Configurar autenticación robusta para todos los accesos a Apache ODE, especialmente para interfaces de administración y ejecución de procesos._x000a_&gt;Implemente Control de Acceso Basado en Roles (RBAC), donde solo usuarios autorizados tengan acceso a funcionalidades críticas según su rol."/>
    <x v="2"/>
    <m/>
    <m/>
    <m/>
    <m/>
    <m/>
    <m/>
    <s v="Cerrado"/>
    <s v="Pentraze"/>
    <s v="Corregido"/>
    <m/>
    <d v="2025-05-08T00:00:00"/>
    <n v="2"/>
    <s v="VULN_PP_SC_2"/>
    <s v="11.Pruebas de Penetración a SIFI Cloud"/>
    <s v="Pentraze"/>
    <m/>
  </r>
  <r>
    <x v="3"/>
    <s v="Purple Team"/>
    <x v="14"/>
    <x v="36"/>
    <m/>
    <x v="0"/>
    <m/>
    <m/>
    <m/>
    <m/>
    <m/>
    <m/>
    <s v="Pendiente"/>
    <s v="Pentraze"/>
    <s v="Vulnerable"/>
    <m/>
    <m/>
    <n v="0"/>
    <s v="VULN_EA_CTCE_7"/>
    <s v="4.Emulación de Adversarios a Controles de Transferencias en Canales Electrónicos"/>
    <s v="Pentraze"/>
    <m/>
  </r>
  <r>
    <x v="3"/>
    <s v="Purple Team"/>
    <x v="14"/>
    <x v="37"/>
    <m/>
    <x v="2"/>
    <m/>
    <m/>
    <m/>
    <m/>
    <d v="2025-07-01T00:00:00"/>
    <m/>
    <s v="Cerrado"/>
    <s v="Pentraze"/>
    <s v="Corregido"/>
    <s v="Para este re-test necesitamos también una segunda cuenta para tener ambos perfiles: Atacante y Victima._x000a_No se puede probar en ambientes bajos debido a inconvenientes de conexion con VU._x000a_30/7/2025, recepcion de vulnerable 6/8/2025_x000a_Recibido para retest 14/8/2025"/>
    <d v="2025-08-20T00:00:00"/>
    <n v="3"/>
    <s v="VULN_EA_CTCE_2"/>
    <s v="4.Emulación de Adversarios a Controles de Transferencias en Canales Electrónicos"/>
    <s v="Pentraze"/>
    <m/>
  </r>
  <r>
    <x v="5"/>
    <s v="BHDIB"/>
    <x v="0"/>
    <x v="38"/>
    <m/>
    <x v="0"/>
    <m/>
    <m/>
    <m/>
    <s v="Ramon Guzman"/>
    <m/>
    <m/>
    <s v="Cerrado"/>
    <s v="Pentraze"/>
    <s v="Corregido"/>
    <m/>
    <m/>
    <n v="1"/>
    <m/>
    <s v="Vulnerabilidades sueltas"/>
    <m/>
    <m/>
  </r>
  <r>
    <x v="7"/>
    <s v="BHDIB"/>
    <x v="17"/>
    <x v="39"/>
    <m/>
    <x v="0"/>
    <m/>
    <m/>
    <m/>
    <s v="Ramon Guzman"/>
    <d v="2025-03-01T00:00:00"/>
    <m/>
    <s v="Cerrado"/>
    <s v="Pentraze"/>
    <s v="Corregido"/>
    <m/>
    <d v="2025-03-25T00:00:00"/>
    <n v="2"/>
    <m/>
    <s v="12.Pruebas de Penetración a Superficies de Ataque_x000a_Externas e Internas de Banco BHD Panamá"/>
    <s v="Pentraze"/>
    <m/>
  </r>
  <r>
    <x v="0"/>
    <s v="BHD"/>
    <x v="18"/>
    <x v="40"/>
    <s v="&gt;No exponer documentación de servicios críticos hacia internet._x000a_&gt;Compartimentaliza el sistema para tener áreas &quot;seguras&quot; donde se puedan definir claramente los límites de confianza. No permitas que los datos sensibles salgan del límite de confianza y siempre ten cuidado al interactuar con un compartimiento fuera del área segura."/>
    <x v="1"/>
    <m/>
    <m/>
    <m/>
    <m/>
    <m/>
    <m/>
    <s v="Cerrado"/>
    <s v="Pentraze"/>
    <s v="Corregido"/>
    <m/>
    <m/>
    <n v="1"/>
    <s v="VULN_PE_CE_3"/>
    <s v="6.Primera emulacion de adversario BHD_Canales Electronicos"/>
    <s v="Pentraze"/>
    <s v="Portal BHD"/>
  </r>
  <r>
    <x v="7"/>
    <s v="BHDIB"/>
    <x v="17"/>
    <x v="41"/>
    <m/>
    <x v="0"/>
    <m/>
    <m/>
    <m/>
    <m/>
    <m/>
    <m/>
    <s v="Cerrado"/>
    <s v="Pentraze"/>
    <s v="Corregido"/>
    <m/>
    <m/>
    <n v="1"/>
    <m/>
    <s v="12.Pruebas de Penetración a Superficies de Ataque_x000a_Externas e Internas de Banco BHD Panamá"/>
    <s v="Pentraze"/>
    <s v="Directory"/>
  </r>
  <r>
    <x v="0"/>
    <s v="BHD"/>
    <x v="19"/>
    <x v="42"/>
    <s v="&gt;Asegúrese de hacer cumplir los límites de sesión a nivel de backend, donde el cliente no tenga interacción alguna."/>
    <x v="1"/>
    <m/>
    <m/>
    <m/>
    <m/>
    <m/>
    <m/>
    <s v="Pendiente"/>
    <s v="Pentraze"/>
    <s v="Vulnerable"/>
    <m/>
    <m/>
    <n v="0"/>
    <s v="VULN_PE_CE_4"/>
    <s v="6.Primera emulacion de adversario BHD_Canales Electronicos"/>
    <s v="Pentraze"/>
    <s v="IBE_MBE"/>
  </r>
  <r>
    <x v="7"/>
    <s v="BHDIB"/>
    <x v="17"/>
    <x v="43"/>
    <m/>
    <x v="0"/>
    <m/>
    <m/>
    <m/>
    <m/>
    <m/>
    <m/>
    <s v="Cerrado"/>
    <s v="Pentraze"/>
    <s v="Corregido"/>
    <m/>
    <m/>
    <n v="1"/>
    <m/>
    <s v="12.Pruebas de Penetración a Superficies de Ataque_x000a_Externas e Internas de Banco BHD Panamá"/>
    <s v="Pentraze"/>
    <m/>
  </r>
  <r>
    <x v="7"/>
    <s v="BHDIB"/>
    <x v="17"/>
    <x v="44"/>
    <m/>
    <x v="3"/>
    <m/>
    <m/>
    <m/>
    <m/>
    <m/>
    <m/>
    <s v="Cerrado"/>
    <s v="Pentraze"/>
    <s v="Corregido"/>
    <m/>
    <m/>
    <n v="1"/>
    <m/>
    <s v="12.Pruebas de Penetración a Superficies de Ataque_x000a_Externas e Internas de Banco BHD Panamá"/>
    <s v="Pentraze"/>
    <m/>
  </r>
  <r>
    <x v="7"/>
    <s v="BHDIB"/>
    <x v="17"/>
    <x v="45"/>
    <m/>
    <x v="0"/>
    <m/>
    <m/>
    <m/>
    <m/>
    <m/>
    <m/>
    <s v="Cerrado"/>
    <s v="Pentraze"/>
    <s v="Corregido"/>
    <m/>
    <m/>
    <n v="1"/>
    <m/>
    <s v="12.Pruebas de Penetración a Superficies de Ataque_x000a_Externas e Internas de Banco BHD Panamá"/>
    <s v="Pentraze"/>
    <m/>
  </r>
  <r>
    <x v="7"/>
    <s v="BHDIB"/>
    <x v="17"/>
    <x v="46"/>
    <m/>
    <x v="0"/>
    <m/>
    <m/>
    <m/>
    <m/>
    <m/>
    <m/>
    <s v="Cerrado"/>
    <s v="Pentraze"/>
    <s v="Corregido"/>
    <m/>
    <m/>
    <n v="2"/>
    <m/>
    <s v="12.Pruebas de Penetración a Superficies de Ataque_x000a_Externas e Internas de Banco BHD Panamá"/>
    <s v="Pentraze"/>
    <m/>
  </r>
  <r>
    <x v="7"/>
    <s v="BHDIB"/>
    <x v="17"/>
    <x v="47"/>
    <m/>
    <x v="0"/>
    <m/>
    <m/>
    <m/>
    <m/>
    <m/>
    <m/>
    <s v="Cerrado"/>
    <s v="Pentraze"/>
    <s v="Corregido"/>
    <m/>
    <m/>
    <n v="1"/>
    <m/>
    <s v="12.Pruebas de Penetración a Superficies de Ataque_x000a_Externas e Internas de Banco BHD Panamá"/>
    <s v="Pentraze"/>
    <m/>
  </r>
  <r>
    <x v="8"/>
    <m/>
    <x v="20"/>
    <x v="48"/>
    <m/>
    <x v="2"/>
    <m/>
    <m/>
    <m/>
    <m/>
    <d v="2025-07-11T00:00:00"/>
    <s v="Hemos concluido con el desarrollo del lado de las APIs, estamos en el proceso de despliegue. "/>
    <s v="Pendiente"/>
    <m/>
    <s v="Vulnerable"/>
    <s v="Por terminar 4/4/2025,_x000a_2 mayo,_x000a_7 Junio,_x000a_11 Julio"/>
    <d v="2025-05-21T00:00:00"/>
    <n v="0"/>
    <s v="VULN_PT_BP_9"/>
    <s v="10.BHD -  Penetration Testing Boton de Pago"/>
    <s v="Pentraze"/>
    <m/>
  </r>
  <r>
    <x v="7"/>
    <s v="BHDIB"/>
    <x v="17"/>
    <x v="49"/>
    <m/>
    <x v="0"/>
    <m/>
    <m/>
    <m/>
    <m/>
    <m/>
    <m/>
    <s v="Cerrado"/>
    <s v="Pentraze"/>
    <s v="Corregido"/>
    <m/>
    <m/>
    <n v="1"/>
    <m/>
    <s v="12.Pruebas de Penetración a Superficies de Ataque_x000a_Externas e Internas de Banco BHD Panamá"/>
    <s v="Pentraze"/>
    <m/>
  </r>
  <r>
    <x v="7"/>
    <s v="BHDIB"/>
    <x v="17"/>
    <x v="50"/>
    <m/>
    <x v="3"/>
    <m/>
    <s v="R5. Debilidad en los procedimientos de aseguramientos de equipos"/>
    <s v="Probabilidad de que vulnerabilidades conocidas sean aprovechadas por un atacante interno y/o externo que puede explotar o aprovechar mediante las siguientes técnicas/amenazas: (Exploit, Ataques de fuerza bruta, Secuestro de Sesión, Remote File inclusion, Denegación de Servicios, Inyección de código, Malware)."/>
    <m/>
    <m/>
    <m/>
    <s v="Pendiente"/>
    <s v="Pentraze"/>
    <s v="Vulnerable"/>
    <m/>
    <d v="2025-02-17T00:00:00"/>
    <n v="1"/>
    <m/>
    <s v="12.Pruebas de Penetración a Superficies de Ataque_x000a_Externas e Internas de Banco BHD Panamá"/>
    <s v="Pentraze"/>
    <m/>
  </r>
  <r>
    <x v="6"/>
    <s v="Fondo"/>
    <x v="16"/>
    <x v="51"/>
    <s v="&gt;Configurar autenticación robusta para todos los accesos a Apache ODE, especialmente para interfaces de administración y ejecución de procesos._x000a_&gt;Implemente Control de Acceso Basado en Roles (RBAC), donde solo usuarios autorizados tengan acceso a funcionalidades críticas según su rol."/>
    <x v="2"/>
    <m/>
    <m/>
    <m/>
    <m/>
    <m/>
    <m/>
    <s v="Cerrado"/>
    <s v="Pentraze"/>
    <s v="Corregido"/>
    <m/>
    <d v="2025-05-08T00:00:00"/>
    <n v="2"/>
    <s v="VULN_PP_SC_1"/>
    <s v="11.Pruebas de Penetración a SIFI Cloud"/>
    <s v="Pentraze"/>
    <m/>
  </r>
  <r>
    <x v="0"/>
    <s v="BHD"/>
    <x v="14"/>
    <x v="52"/>
    <s v="&gt;Asegúrese de que usuarios que no completaron el flujo con un segundo factor, no puedan consumir los API end-points."/>
    <x v="1"/>
    <m/>
    <m/>
    <m/>
    <m/>
    <m/>
    <m/>
    <s v="Cerrado"/>
    <s v="Pentraze"/>
    <s v="Corregido"/>
    <m/>
    <d v="2025-01-23T00:00:00"/>
    <n v="2"/>
    <s v="VULN_PE_CE_5"/>
    <s v="6.Primera emulacion de adversario BHD_Canales Electronicos"/>
    <s v="Pentraze"/>
    <s v="IBE"/>
  </r>
  <r>
    <x v="9"/>
    <s v="Remesas"/>
    <x v="21"/>
    <x v="53"/>
    <m/>
    <x v="0"/>
    <m/>
    <m/>
    <m/>
    <m/>
    <m/>
    <m/>
    <s v="Cerrado"/>
    <s v="Pentraze"/>
    <s v="Corregido"/>
    <m/>
    <d v="2025-04-21T00:00:00"/>
    <n v="1"/>
    <s v="VULN_PP_ACR_8"/>
    <s v="Prueba de Penetración a API de Corresponsales de Remesas"/>
    <s v="Pentraze"/>
    <m/>
  </r>
  <r>
    <x v="8"/>
    <m/>
    <x v="20"/>
    <x v="54"/>
    <m/>
    <x v="2"/>
    <m/>
    <m/>
    <m/>
    <m/>
    <d v="2025-09-05T00:00:00"/>
    <s v="Se inicio con el analisis, pero por temas de prioridad se tuvo que detener. Se esta planificando retomar las sesiones para el primer sprint de enero."/>
    <s v="Pendiente"/>
    <m/>
    <s v="Vulnerable"/>
    <s v="Por iniciar el 5 de septiembre 2025"/>
    <m/>
    <n v="0"/>
    <s v="VULN_PT_BP_2"/>
    <s v="10.BHD -  Penetration Testing Boton de Pago"/>
    <s v="Pentraze"/>
    <m/>
  </r>
  <r>
    <x v="8"/>
    <m/>
    <x v="20"/>
    <x v="55"/>
    <m/>
    <x v="2"/>
    <m/>
    <m/>
    <m/>
    <m/>
    <d v="2025-07-11T00:00:00"/>
    <s v="La segunda fase iniciara una vez se concluya con las pruebas de la fase "/>
    <s v="Pendiente"/>
    <m/>
    <s v="Vulnerable"/>
    <s v="Por terminar 4/4/2025,_x000a_16 mayo,_x000a_7 Junio,_x000a_11 Julio"/>
    <m/>
    <n v="0"/>
    <s v="VULN_PT_BP_6"/>
    <s v="10.BHD -  Penetration Testing Boton de Pago"/>
    <s v="Pentraze"/>
    <m/>
  </r>
  <r>
    <x v="8"/>
    <m/>
    <x v="20"/>
    <x v="56"/>
    <m/>
    <x v="2"/>
    <m/>
    <m/>
    <m/>
    <m/>
    <d v="2025-07-11T00:00:00"/>
    <s v="Hemos concluido con el desarrollo del lado de las APIs, estamos en el proceso de despliegue. "/>
    <s v="Pendiente"/>
    <m/>
    <s v="Vulnerable"/>
    <s v="Por terminar 4/4/2025,_x000a_2 mayo,_x000a_7 Junio,_x000a_11 Julio"/>
    <m/>
    <n v="0"/>
    <s v="VULN_PT_BP_5"/>
    <s v="10.BHD -  Penetration Testing Boton de Pago"/>
    <s v="Pentraze"/>
    <m/>
  </r>
  <r>
    <x v="3"/>
    <s v="Purple Team"/>
    <x v="14"/>
    <x v="57"/>
    <m/>
    <x v="1"/>
    <m/>
    <m/>
    <m/>
    <m/>
    <m/>
    <m/>
    <s v="Pendiente"/>
    <s v="Pentraze"/>
    <s v="Vulnerable"/>
    <m/>
    <m/>
    <n v="0"/>
    <s v="VULN_EA_CTCE_4"/>
    <s v="4.Emulación de Adversarios a Controles de Transferencias en Canales Electrónicos"/>
    <s v="Pentraze"/>
    <m/>
  </r>
  <r>
    <x v="0"/>
    <s v="BHD"/>
    <x v="2"/>
    <x v="58"/>
    <s v="&gt;Asegurese que el servidor sea el que maneje las respuestas a aceptar por parte del cliente._x000a_&gt;Reemplazar las preguntas de seguridad con mecanismos robustos como OTPs"/>
    <x v="1"/>
    <m/>
    <m/>
    <m/>
    <m/>
    <m/>
    <m/>
    <s v="Cerrado"/>
    <s v="Pentraze"/>
    <s v="Corregido"/>
    <m/>
    <d v="2024-12-13T00:00:00"/>
    <n v="2"/>
    <s v="VULN_PE_CE_6"/>
    <s v="6.Primera emulacion de adversario BHD_Canales Electronicos"/>
    <s v="Pentraze"/>
    <s v="IBP"/>
  </r>
  <r>
    <x v="5"/>
    <m/>
    <x v="0"/>
    <x v="59"/>
    <m/>
    <x v="2"/>
    <m/>
    <m/>
    <m/>
    <m/>
    <m/>
    <m/>
    <s v="Pendiente"/>
    <s v="Pentraze"/>
    <s v="Vulnerable"/>
    <s v="Necesitamos acceso (credenciales) o que nos envíen capturas de pantalla."/>
    <m/>
    <n v="2"/>
    <m/>
    <s v="Vulnerabilidades sueltas"/>
    <m/>
    <m/>
  </r>
  <r>
    <x v="0"/>
    <s v="BHD"/>
    <x v="14"/>
    <x v="60"/>
    <s v="&gt;Validar que la cuenta destino pertenece al usuario antes de registrar la transacción._x000a_&gt;Agregar validación de keycard o Access Token para transacciones entre cuentas."/>
    <x v="0"/>
    <m/>
    <m/>
    <m/>
    <m/>
    <m/>
    <m/>
    <s v="Cerrado"/>
    <s v="Pentraze"/>
    <s v="Corregido"/>
    <m/>
    <d v="2025-01-23T00:00:00"/>
    <n v="3"/>
    <s v="VULN_PE_CE_7"/>
    <s v="6.Primera emulacion de adversario BHD_Canales Electronicos"/>
    <s v="Pentraze"/>
    <s v="IBE"/>
  </r>
  <r>
    <x v="0"/>
    <s v="BHD"/>
    <x v="2"/>
    <x v="61"/>
    <s v="&gt;Implementar enmascaramiento de datos: Asegurar que todos los números de tarjeta de crédito mostrados en las interfaces de usuario estén enmascarados, mostrando solo los primeros y últimos cuatro dígitos, conforme al estándar PCI DSS."/>
    <x v="0"/>
    <m/>
    <m/>
    <m/>
    <m/>
    <m/>
    <m/>
    <s v="Cerrado"/>
    <s v="Pentraze"/>
    <s v="Corregido"/>
    <m/>
    <m/>
    <n v="3"/>
    <s v="VULN_PE_CE_8"/>
    <s v="6.Primera emulacion de adversario BHD_Canales Electronicos"/>
    <s v="Pentraze"/>
    <s v="IBP"/>
  </r>
  <r>
    <x v="0"/>
    <s v="BHD"/>
    <x v="10"/>
    <x v="62"/>
    <s v="&gt;Valide en backend y en la sesión usuario que el 2do Factor de Autenticación fue validado antes de proseguir los flujos autorizados."/>
    <x v="0"/>
    <m/>
    <m/>
    <m/>
    <m/>
    <m/>
    <m/>
    <s v="Cerrado"/>
    <s v="Pentraze"/>
    <s v="Corregido"/>
    <m/>
    <m/>
    <n v="1"/>
    <s v="VULN_PE_CE_9"/>
    <s v="6.Primera emulacion de adversario BHD_Canales Electronicos"/>
    <s v="Pentraze"/>
    <s v="MBE"/>
  </r>
  <r>
    <x v="10"/>
    <m/>
    <x v="22"/>
    <x v="63"/>
    <m/>
    <x v="0"/>
    <m/>
    <s v="R3. Debilidades en el control de acceso a la red y aplicaciones del Banco"/>
    <s v="4. Riesgo de no contar con la Gestión adecuada a las aplicaciones BIA (accesos, perfilamientos, cambios, desaprovisionamiento de usuarios) "/>
    <m/>
    <m/>
    <m/>
    <s v="Cerrado"/>
    <s v="Pentraze"/>
    <s v="Corregido"/>
    <m/>
    <d v="2024-10-22T00:00:00"/>
    <n v="1"/>
    <s v="VULN_IP_TPC_4"/>
    <s v="9.BHD - Informe Penetration Testing Preaprobación Comercial"/>
    <s v="Pentraze"/>
    <s v="https://api-ppd.bhdleon.com.do/bhd/api/v1/mkt/offers"/>
  </r>
  <r>
    <x v="0"/>
    <s v="BHD"/>
    <x v="23"/>
    <x v="64"/>
    <s v="&gt;Remover dicho token de acceso de los archivos fuente de la aplicación o en su defecto, generar tokens a demanda."/>
    <x v="2"/>
    <m/>
    <m/>
    <m/>
    <m/>
    <m/>
    <m/>
    <s v="Cerrado"/>
    <s v="Pentraze"/>
    <s v="Corregido"/>
    <m/>
    <m/>
    <n v="1"/>
    <s v="VULN_PE_PW_1"/>
    <s v="5.Primera emulacion de adversario BHD_Portales Web"/>
    <s v="Pentraze"/>
    <s v="MBP"/>
  </r>
  <r>
    <x v="3"/>
    <s v="Purple Team"/>
    <x v="2"/>
    <x v="65"/>
    <m/>
    <x v="1"/>
    <m/>
    <m/>
    <m/>
    <m/>
    <d v="2025-07-01T00:00:00"/>
    <m/>
    <s v="Pendiente"/>
    <s v="Pentraze"/>
    <s v="Vulnerable"/>
    <m/>
    <m/>
    <n v="0"/>
    <s v="VULN_EA_CTCE_11"/>
    <s v="4.Emulación de Adversarios a Controles de Transferencias en Canales Electrónicos"/>
    <m/>
    <m/>
  </r>
  <r>
    <x v="0"/>
    <s v="BHD"/>
    <x v="24"/>
    <x v="66"/>
    <s v="&gt;No codifique credenciales en recursos del lado del cliente, como el código javascript"/>
    <x v="1"/>
    <m/>
    <m/>
    <m/>
    <m/>
    <m/>
    <m/>
    <s v="Cerrado"/>
    <s v="Pentraze"/>
    <s v="Corregido"/>
    <m/>
    <m/>
    <n v="1"/>
    <s v="VULN_PE_PW_2"/>
    <s v="5.Primera emulacion de adversario BHD_Portales Web"/>
    <s v="Pentraze"/>
    <s v="Portal BHD"/>
  </r>
  <r>
    <x v="0"/>
    <s v="BHD"/>
    <x v="18"/>
    <x v="40"/>
    <s v="&gt;No exponer documentación de servicios críticos hacia internet._x000a_&gt;Compartimentaliza el sistema para tener áreas &quot;seguras&quot; donde se puedan definir claramente los límites de confianza. No permitas que los datos sensibles salgan del límite de confianza y siempre ten cuidado al interactuar con un compartimiento fuera del área segura."/>
    <x v="1"/>
    <m/>
    <m/>
    <m/>
    <m/>
    <m/>
    <m/>
    <s v="Cerrado"/>
    <s v="Pentraze"/>
    <s v="Corregido"/>
    <m/>
    <d v="2024-10-31T00:00:00"/>
    <n v="1"/>
    <s v="VULN_PE_PW_3"/>
    <s v="5.Primera emulacion de adversario BHD_Portales Web"/>
    <s v="Pentraze"/>
    <s v="Portal BHD"/>
  </r>
  <r>
    <x v="0"/>
    <s v="BHD"/>
    <x v="24"/>
    <x v="67"/>
    <s v="&gt;Implementar políticas de contraseñas seguras: Requerir contraseñas que tengan al menos 12 caracteres y que incluyan una combinación de letras mayúsculas, minúsculas, números y caracteres especiales._x000a_&gt;Prohibir el uso de contraseñas comunes o que se encuentren en listas de contraseñas comprometidas._x000a_&gt;Habilitar la autenticación de dos factores (2FA): Implementar 2FA para agregar una capa adicional de seguridad al proceso de inicio de sesión. Esto asegura que, incluso si las credenciales son comprometidas, los atacantes no podrán acceder sin la segunda forma de autenticación."/>
    <x v="1"/>
    <m/>
    <m/>
    <m/>
    <m/>
    <m/>
    <m/>
    <s v="Cerrado"/>
    <s v="Pentraze"/>
    <s v="Corregido"/>
    <m/>
    <d v="2024-10-31T00:00:00"/>
    <n v="1"/>
    <s v="VULN_PE_PW_4"/>
    <s v="5.Primera emulacion de adversario BHD_Portales Web"/>
    <s v="Pentraze"/>
    <s v="Portal BHD"/>
  </r>
  <r>
    <x v="11"/>
    <s v="BHD"/>
    <x v="23"/>
    <x v="68"/>
    <s v="&gt;Asegúrese de que un usuario solo pueda recuperar información de sus propias cuentas."/>
    <x v="1"/>
    <m/>
    <m/>
    <m/>
    <m/>
    <m/>
    <m/>
    <s v="Pendiente"/>
    <s v="Pentraze"/>
    <s v="Vulnerable"/>
    <m/>
    <m/>
    <n v="0"/>
    <s v="VULN_IP_MBP_1"/>
    <s v="7.BHD - Informe Penetration Testing Mobile Banking Personal 1"/>
    <s v="Pentraze"/>
    <s v="MBP"/>
  </r>
  <r>
    <x v="0"/>
    <s v="BHD"/>
    <x v="25"/>
    <x v="69"/>
    <m/>
    <x v="2"/>
    <m/>
    <m/>
    <m/>
    <m/>
    <m/>
    <m/>
    <s v="Pendiente"/>
    <s v="Pentraze"/>
    <s v="Vulnerable"/>
    <m/>
    <m/>
    <n v="0"/>
    <s v="VULN_PE_AD_1"/>
    <s v="1.Primera emulacion de adversario BHD_Active Directory"/>
    <s v="Pentraze"/>
    <s v="Infra/Active Directory"/>
  </r>
  <r>
    <x v="8"/>
    <m/>
    <x v="20"/>
    <x v="70"/>
    <m/>
    <x v="2"/>
    <m/>
    <m/>
    <m/>
    <m/>
    <d v="2025-03-21T00:00:00"/>
    <s v="Hemos concluido con el desarrollo del lado de las APIs, estamos en el proceso de despliegue. "/>
    <s v="Pendiente"/>
    <m/>
    <s v="Vulnerable"/>
    <m/>
    <m/>
    <n v="0"/>
    <s v="VULN_PT_BP_1"/>
    <s v="10.BHD -  Penetration Testing Boton de Pago"/>
    <s v="Pentraze"/>
    <m/>
  </r>
  <r>
    <x v="0"/>
    <s v="BHD"/>
    <x v="0"/>
    <x v="71"/>
    <s v="&gt;Aplicar inmediatamente el parche de seguridad MS17-010 en todos los sistemas afectados._x000a_&gt;Deshabilitar el protocolo SMBv1 en todos los servidores y estaciones de trabajo, ya que es obsoleto y presenta múltiples riesgos de seguridad._x000a_&gt;Implementar segmentación de red y controles de acceso para limitar el alcance de posibles ataques a servicios SMB."/>
    <x v="2"/>
    <m/>
    <m/>
    <m/>
    <m/>
    <m/>
    <m/>
    <s v="Cerrado"/>
    <s v="Pentraze"/>
    <s v="Corregido"/>
    <m/>
    <m/>
    <n v="2"/>
    <s v="VULN_PA_VCC_1"/>
    <s v="8.Primera emulacion de adversario BHD_Vulnerabilidades y Cambios de Configuraciones"/>
    <s v="Pentraze"/>
    <m/>
  </r>
  <r>
    <x v="0"/>
    <s v="Puesto de bolsa"/>
    <x v="26"/>
    <x v="72"/>
    <s v="&gt;Compartmentaliza el sistema para tener áreas &quot;seguras&quot; donde se puedan definir claramente los límites de confianza. No permitas que los datos sensibles salgan del límite de confianza y siempre ten cuidado al interactuar con un compartimiento fuera del área segura."/>
    <x v="0"/>
    <m/>
    <m/>
    <m/>
    <m/>
    <m/>
    <m/>
    <s v="Cerrado"/>
    <s v="Pentraze"/>
    <s v="Corregido"/>
    <m/>
    <d v="2025-11-12T00:00:00"/>
    <n v="1"/>
    <s v="VULN_PE_PW_5"/>
    <s v="5.Primera emulacion de adversario BHD_Portales Web"/>
    <s v="Pentraze"/>
    <m/>
  </r>
  <r>
    <x v="3"/>
    <s v="Purple Team"/>
    <x v="27"/>
    <x v="73"/>
    <m/>
    <x v="1"/>
    <m/>
    <m/>
    <m/>
    <m/>
    <m/>
    <m/>
    <s v="Pendiente"/>
    <s v="Pentraze"/>
    <s v="Vulnerable"/>
    <m/>
    <m/>
    <n v="0"/>
    <s v="VULN_EA_CTCE_5"/>
    <s v="4.Emulación de Adversarios a Controles de Transferencias en Canales Electrónicos"/>
    <s v="Pentraze"/>
    <m/>
  </r>
  <r>
    <x v="0"/>
    <s v="BHD"/>
    <x v="28"/>
    <x v="74"/>
    <s v="&gt;Se deben redirigir los URL de la páginas de autor a una página de error 404."/>
    <x v="0"/>
    <m/>
    <m/>
    <m/>
    <m/>
    <m/>
    <m/>
    <s v="Cerrado"/>
    <s v="Pentraze"/>
    <s v="Corregido"/>
    <m/>
    <m/>
    <n v="1"/>
    <s v="VULN_PE_PW_6"/>
    <s v="5.Primera emulacion de adversario BHD_Portales Web"/>
    <s v="Pentraze"/>
    <s v="Portal BHD"/>
  </r>
  <r>
    <x v="7"/>
    <s v="BHDIB"/>
    <x v="17"/>
    <x v="75"/>
    <m/>
    <x v="1"/>
    <m/>
    <m/>
    <m/>
    <m/>
    <m/>
    <m/>
    <s v="Cerrado"/>
    <s v="Pentraze"/>
    <s v="Corregido"/>
    <m/>
    <m/>
    <n v="1"/>
    <m/>
    <s v="12.Pruebas de Penetración a Superficies de Ataque_x000a_Externas e Internas de Banco BHD Panamá"/>
    <s v="Pentraze"/>
    <m/>
  </r>
  <r>
    <x v="9"/>
    <s v="Remesas"/>
    <x v="21"/>
    <x v="76"/>
    <m/>
    <x v="1"/>
    <m/>
    <m/>
    <m/>
    <m/>
    <m/>
    <m/>
    <s v="Cerrado"/>
    <s v="Pentraze"/>
    <s v="Corregido"/>
    <m/>
    <d v="2025-04-21T00:00:00"/>
    <n v="1"/>
    <s v="VULN_PP_ACR_7"/>
    <s v="Prueba de Penetración a API de Corresponsales de Remesas"/>
    <s v="Pentraze"/>
    <m/>
  </r>
  <r>
    <x v="9"/>
    <s v="Remesas"/>
    <x v="21"/>
    <x v="77"/>
    <m/>
    <x v="1"/>
    <m/>
    <m/>
    <m/>
    <m/>
    <m/>
    <m/>
    <s v="Cerrado"/>
    <s v="Pentraze"/>
    <s v="Corregido"/>
    <m/>
    <d v="2025-04-21T00:00:00"/>
    <n v="1"/>
    <s v="VULN_PP_ACR_6"/>
    <s v="Prueba de Penetración a API de Corresponsales de Remesas"/>
    <s v="Pentraze"/>
    <m/>
  </r>
  <r>
    <x v="0"/>
    <s v="BHD"/>
    <x v="29"/>
    <x v="78"/>
    <s v="&gt;Utilice la herramienta AutoLogon de Sysinternals, la cual permite configurar el inicio de sesión automático de manera segura sin almacenar las credenciales en texto plano."/>
    <x v="0"/>
    <m/>
    <m/>
    <m/>
    <m/>
    <m/>
    <m/>
    <s v="Cerrado"/>
    <s v="Pentraze"/>
    <s v="Corregido"/>
    <m/>
    <m/>
    <n v="4"/>
    <s v="VULN_PE_AD_10"/>
    <s v="1.Primera emulacion de adversario BHD_Active Directory"/>
    <s v="Pentraze"/>
    <s v="Infra_Active Directory"/>
  </r>
  <r>
    <x v="0"/>
    <s v="BHD"/>
    <x v="29"/>
    <x v="79"/>
    <s v="&gt;Configure el valor del atributo ms-DS-MachineAccountQuota en 0. Usuarios miembros de los grupos Administrators o Domain Administrators,y aquellos usuarios que han delegado permisos en contenedores en Active Directory para crear y eliminar cuentas de computadora, no están restringidos por esta limitación."/>
    <x v="3"/>
    <m/>
    <m/>
    <m/>
    <m/>
    <m/>
    <m/>
    <s v="Cerrado"/>
    <s v="Pentraze"/>
    <s v="Corregido"/>
    <m/>
    <m/>
    <n v="1"/>
    <s v="VULN_PE_AD_11"/>
    <s v="1.Primera emulacion de adversario BHD_Active Directory"/>
    <s v="Pentraze"/>
    <s v="Infra_Active Directory"/>
  </r>
  <r>
    <x v="12"/>
    <s v="BHD"/>
    <x v="10"/>
    <x v="80"/>
    <m/>
    <x v="2"/>
    <m/>
    <s v="Falta de integridad de la informacion"/>
    <m/>
    <m/>
    <m/>
    <m/>
    <s v="Pendiente"/>
    <s v="Pentraze"/>
    <s v="Vulnerable"/>
    <m/>
    <m/>
    <n v="0"/>
    <m/>
    <s v="BHD - Pentest Móvil MBE"/>
    <s v="GBM"/>
    <s v="MBE Android"/>
  </r>
  <r>
    <x v="9"/>
    <s v="Remesas"/>
    <x v="21"/>
    <x v="81"/>
    <m/>
    <x v="1"/>
    <m/>
    <m/>
    <m/>
    <m/>
    <m/>
    <m/>
    <s v="Cerrado"/>
    <s v="Pentraze"/>
    <s v="Corregido"/>
    <s v="Se volvio a pasar a vulnerable luego de recibirse el 21 de abril 25 debido a un cambio de instancia que salio vulnerable. Cambio de fecha de recepcion a febrero 5 2026 probando pegasus remesas. Luego de un segundo retest el 10 de febrero 26 pasa a corregido"/>
    <d v="2026-02-10T00:00:00"/>
    <n v="2"/>
    <s v="VULN_PP_ACR_5"/>
    <s v="Prueba de Penetración a API de Corresponsales de Remesas"/>
    <s v="Pentraze"/>
    <m/>
  </r>
  <r>
    <x v="9"/>
    <s v="Remesas"/>
    <x v="21"/>
    <x v="82"/>
    <m/>
    <x v="1"/>
    <m/>
    <m/>
    <m/>
    <m/>
    <m/>
    <m/>
    <s v="Cerrado"/>
    <s v="Pentraze"/>
    <s v="Corregido"/>
    <m/>
    <d v="2025-04-21T00:00:00"/>
    <n v="1"/>
    <s v="VULN_PP_ACR_4"/>
    <s v="Prueba de Penetración a API de Corresponsales de Remesas"/>
    <s v="Pentraze"/>
    <m/>
  </r>
  <r>
    <x v="0"/>
    <s v="BHD"/>
    <x v="25"/>
    <x v="83"/>
    <m/>
    <x v="2"/>
    <m/>
    <m/>
    <m/>
    <m/>
    <m/>
    <m/>
    <s v="Pendiente"/>
    <s v="Pentraze"/>
    <s v="Vulnerable"/>
    <m/>
    <m/>
    <n v="0"/>
    <s v="VULN_PE_AD_2"/>
    <s v="1.Primera emulacion de adversario BHD_Active Directory"/>
    <s v="Pentraze"/>
    <s v="Infra_Active Directory"/>
  </r>
  <r>
    <x v="9"/>
    <s v="Remesas"/>
    <x v="21"/>
    <x v="84"/>
    <m/>
    <x v="1"/>
    <m/>
    <m/>
    <m/>
    <m/>
    <m/>
    <m/>
    <s v="Cerrado"/>
    <s v="Pentraze"/>
    <s v="Corregido"/>
    <m/>
    <d v="2025-04-21T00:00:00"/>
    <n v="1"/>
    <s v="VULN_PP_ACR_3"/>
    <s v="Prueba de Penetración a API de Corresponsales de Remesas"/>
    <s v="Pentraze"/>
    <m/>
  </r>
  <r>
    <x v="9"/>
    <s v="Remesas"/>
    <x v="21"/>
    <x v="85"/>
    <m/>
    <x v="1"/>
    <m/>
    <m/>
    <m/>
    <m/>
    <m/>
    <m/>
    <s v="Cerrado"/>
    <s v="Pentraze"/>
    <s v="Corregido"/>
    <m/>
    <d v="2025-04-21T00:00:00"/>
    <n v="1"/>
    <s v="VULN_PP_ACR_2"/>
    <s v="Prueba de Penetración a API de Corresponsales de Remesas"/>
    <s v="Pentraze"/>
    <m/>
  </r>
  <r>
    <x v="12"/>
    <s v="BHD"/>
    <x v="10"/>
    <x v="86"/>
    <m/>
    <x v="2"/>
    <m/>
    <s v="Falta de la confidencialidad "/>
    <m/>
    <m/>
    <m/>
    <m/>
    <s v="Cerrado"/>
    <s v="Pentraze"/>
    <s v="Corregido"/>
    <m/>
    <m/>
    <n v="1"/>
    <m/>
    <s v="BHD - Pentest Móvil MBE"/>
    <s v="GBM"/>
    <s v="MBE Android y Ios"/>
  </r>
  <r>
    <x v="9"/>
    <s v="Remesas"/>
    <x v="21"/>
    <x v="87"/>
    <m/>
    <x v="1"/>
    <m/>
    <m/>
    <m/>
    <m/>
    <m/>
    <m/>
    <s v="Pendiente"/>
    <s v="Pentraze"/>
    <s v="Vulnerable"/>
    <m/>
    <d v="2025-04-21T00:00:00"/>
    <n v="1"/>
    <s v="VULN_PP_ACR_1"/>
    <s v="Prueba de Penetración a API de Corresponsales de Remesas"/>
    <s v="Pentraze"/>
    <m/>
  </r>
  <r>
    <x v="12"/>
    <s v="BHD"/>
    <x v="10"/>
    <x v="88"/>
    <m/>
    <x v="2"/>
    <m/>
    <s v="Falta de seguridad en dispositivo"/>
    <m/>
    <m/>
    <m/>
    <m/>
    <s v="Cerrado"/>
    <s v="Pentraze"/>
    <s v="Corregido"/>
    <m/>
    <m/>
    <n v="1"/>
    <m/>
    <s v="BHD - Pentest Móvil MBE"/>
    <s v="GBM"/>
    <s v="MBE Ios"/>
  </r>
  <r>
    <x v="5"/>
    <m/>
    <x v="0"/>
    <x v="89"/>
    <m/>
    <x v="1"/>
    <m/>
    <m/>
    <m/>
    <m/>
    <m/>
    <m/>
    <s v="Cerrado"/>
    <m/>
    <s v="Corregido"/>
    <m/>
    <m/>
    <n v="1"/>
    <m/>
    <s v="Vulnerabilidades sueltas"/>
    <m/>
    <m/>
  </r>
  <r>
    <x v="12"/>
    <s v="BHD"/>
    <x v="10"/>
    <x v="90"/>
    <m/>
    <x v="2"/>
    <m/>
    <s v="Falta de la confidencialidad "/>
    <m/>
    <m/>
    <m/>
    <m/>
    <s v="Cerrado"/>
    <s v="Pentraze"/>
    <s v="Corregido"/>
    <m/>
    <m/>
    <n v="1"/>
    <m/>
    <s v="BHD - Pentest Móvil MBE"/>
    <s v="GBM"/>
    <s v="MBE Android"/>
  </r>
  <r>
    <x v="12"/>
    <s v="BHD"/>
    <x v="10"/>
    <x v="91"/>
    <m/>
    <x v="2"/>
    <m/>
    <s v="Ausencia de protección contra ataques cibernético"/>
    <m/>
    <m/>
    <m/>
    <m/>
    <s v="Cerrado"/>
    <s v="Pentraze"/>
    <s v="Corregido"/>
    <m/>
    <m/>
    <n v="1"/>
    <m/>
    <s v="BHD - Pentest Móvil MBE"/>
    <s v="GBM"/>
    <s v="MBE Android y Ios"/>
  </r>
  <r>
    <x v="4"/>
    <s v="BHD"/>
    <x v="30"/>
    <x v="92"/>
    <m/>
    <x v="0"/>
    <m/>
    <m/>
    <m/>
    <m/>
    <m/>
    <m/>
    <m/>
    <m/>
    <s v="Corregido"/>
    <m/>
    <m/>
    <n v="0"/>
    <m/>
    <s v="Prueba de Penetración Interna"/>
    <s v="SISAP"/>
    <m/>
  </r>
  <r>
    <x v="10"/>
    <m/>
    <x v="22"/>
    <x v="93"/>
    <m/>
    <x v="1"/>
    <m/>
    <s v="R3. Debilidades en el control de acceso a la red y aplicaciones del Banco"/>
    <s v="4. Riesgo de no contar con la Gestión adecuada a las aplicaciones BIA (accesos, perfilamientos, cambios, desaprovisionamiento de usuarios) "/>
    <m/>
    <m/>
    <m/>
    <s v="Cerrado"/>
    <s v="Pentraze"/>
    <s v="Corregido"/>
    <m/>
    <d v="2024-11-01T00:00:00"/>
    <n v="1"/>
    <s v="VULN_IP_TPC_6"/>
    <s v="9.BHD - Informe Penetration Testing Preaprobación Comercial"/>
    <s v="Pentraze"/>
    <s v="https://api-ppd.bhdleon.com.do/bhdleon/api/v1/personal/pega-self-service/assignments/"/>
  </r>
  <r>
    <x v="13"/>
    <m/>
    <x v="31"/>
    <x v="94"/>
    <m/>
    <x v="3"/>
    <m/>
    <m/>
    <m/>
    <m/>
    <m/>
    <m/>
    <s v="Pendiente"/>
    <m/>
    <s v="Corregido"/>
    <m/>
    <m/>
    <n v="0"/>
    <m/>
    <s v="BHD - Evaluación de Aplicaciones Tableau"/>
    <s v="SISAP"/>
    <m/>
  </r>
  <r>
    <x v="0"/>
    <s v="BHD"/>
    <x v="29"/>
    <x v="95"/>
    <s v="&gt;Deshabilitar la autenticación NTLM en los endpoints de Active Directory Certificate Services (AD CS) que utilizan los servicios web de inscripción de certificados._x000a_&gt;Implementa Extended Protection for Authentication (EPA) y habilita Signing Required para proteger los canales de autenticación._x000a_&gt;Restringe el acceso a estos endpoints a usuarios y equipos autorizados mediante políticas de red y controles de acceso basados en roles."/>
    <x v="2"/>
    <m/>
    <m/>
    <m/>
    <m/>
    <m/>
    <m/>
    <s v="Cerrado"/>
    <s v="Pentraze"/>
    <s v="Corregido"/>
    <m/>
    <m/>
    <n v="1"/>
    <s v="VULN_PE_AD_3"/>
    <s v="1.Primera emulacion de adversario BHD_Active Directory"/>
    <s v="Pentraze"/>
    <s v="Infra_Active Directory"/>
  </r>
  <r>
    <x v="0"/>
    <s v="BHD"/>
    <x v="29"/>
    <x v="96"/>
    <s v="&gt;Remover los permisos excesivos que el grupo Domain Computers posee sobre la plantilla de certificados Radius."/>
    <x v="2"/>
    <m/>
    <m/>
    <m/>
    <m/>
    <m/>
    <m/>
    <s v="Cerrado"/>
    <s v="Pentraze"/>
    <s v="Corregido"/>
    <m/>
    <m/>
    <n v="1"/>
    <s v="VULN_PE_AD_4"/>
    <s v="1.Primera emulacion de adversario BHD_Active Directory"/>
    <s v="Pentraze"/>
    <s v="Infra_Active Directory"/>
  </r>
  <r>
    <x v="13"/>
    <m/>
    <x v="31"/>
    <x v="97"/>
    <m/>
    <x v="3"/>
    <m/>
    <m/>
    <m/>
    <m/>
    <m/>
    <m/>
    <s v="Pendiente"/>
    <m/>
    <s v="Corregido"/>
    <m/>
    <m/>
    <n v="0"/>
    <m/>
    <s v="BHD - Evaluación de Aplicaciones Tableau"/>
    <s v="SISAP"/>
    <m/>
  </r>
  <r>
    <x v="10"/>
    <s v="BHD"/>
    <x v="22"/>
    <x v="6"/>
    <s v="&gt;Asegúrese de que un usuario solo pueda recuperar información de sus propias cuentas."/>
    <x v="1"/>
    <m/>
    <s v="R3. Debilidades en el control de acceso a la red y aplicaciones del Banco"/>
    <s v="4. Riesgo de no contar con la Gestión adecuada a las aplicaciones BIA (accesos, perfilamientos, cambios, desaprovisionamiento de usuarios) "/>
    <m/>
    <m/>
    <m/>
    <s v="Cerrado"/>
    <s v="Pentraze"/>
    <s v="Corregido"/>
    <m/>
    <d v="2024-10-31T00:00:00"/>
    <n v="1"/>
    <s v="VULN_IP_TPC_3"/>
    <s v="9.BHD - Informe Penetration Testing Preaprobación Comercial"/>
    <s v="Pentraze"/>
    <s v="https://api-ppd.bhdleon.com.do/bhd/api/v2/personal/passive/saving-account/details"/>
  </r>
  <r>
    <x v="6"/>
    <s v="Fondo"/>
    <x v="16"/>
    <x v="98"/>
    <s v="&gt;Realice validaciones de identidad utilizando métodos alternativos como correo electrónico._x000a_&gt;Envíe un correo electrónico al usuario para informarle que su contraseña ha sido restablecida (¡no envíe la contraseña en el correo electrónico!)._x000a_&gt;En caso de seguir utilizando preguntas de seguridad, utilice TextBox en lugar de ComboBox para eludir la enumeración por discrepancia."/>
    <x v="1"/>
    <m/>
    <m/>
    <m/>
    <m/>
    <m/>
    <m/>
    <s v="En Proceso"/>
    <s v="Pentraze"/>
    <s v="Vulnerable"/>
    <m/>
    <d v="2025-08-21T00:00:00"/>
    <n v="2"/>
    <s v="VULN_PP_SC_4"/>
    <s v="11.Pruebas de Penetración a SIFI Cloud"/>
    <s v="Pentraze"/>
    <m/>
  </r>
  <r>
    <x v="10"/>
    <m/>
    <x v="22"/>
    <x v="99"/>
    <m/>
    <x v="3"/>
    <m/>
    <s v="Falta de la confidencialidad "/>
    <m/>
    <m/>
    <m/>
    <m/>
    <s v="Cerrado"/>
    <s v="Pentraze"/>
    <s v="Corregido"/>
    <m/>
    <d v="2024-10-22T00:00:00"/>
    <n v="1"/>
    <s v="VULN_IP_TPC_9"/>
    <s v="9.BHD - Informe Penetration Testing Preaprobación Comercial"/>
    <s v="Pentraze"/>
    <s v="com.artech.infocorp_bhd.bhd.dev"/>
  </r>
  <r>
    <x v="6"/>
    <s v="Fondo"/>
    <x v="16"/>
    <x v="100"/>
    <s v="&gt;Generar un token único y no predecible para cada sesión del usuario. Este token debe incluirse en cada solicitud que realice un cambio de estado o una acción sensible en el servidor._x000a_&gt;Configurar las cookies de sesión con el atributo SameSite para que no se envíen en solicitudes de sitios cruzados."/>
    <x v="1"/>
    <m/>
    <m/>
    <m/>
    <m/>
    <m/>
    <m/>
    <s v="En Proceso"/>
    <s v="Pentraze"/>
    <s v="Vulnerable"/>
    <s v="A fin de validar el hallazgo requerimos credenciales, las que nos suministraron no se encuentran funcionales (Password incorrect"/>
    <d v="2025-08-21T00:00:00"/>
    <n v="2"/>
    <s v="VULN_PP_SC_8"/>
    <s v="11.Pruebas de Penetración a SIFI Cloud"/>
    <s v="Pentraze"/>
    <m/>
  </r>
  <r>
    <x v="12"/>
    <s v="BHD"/>
    <x v="10"/>
    <x v="101"/>
    <m/>
    <x v="1"/>
    <m/>
    <s v="Ausencia de protección contra ataques cibernético"/>
    <m/>
    <m/>
    <m/>
    <m/>
    <s v="Cerrado"/>
    <m/>
    <s v="Corregido"/>
    <m/>
    <m/>
    <n v="1"/>
    <m/>
    <s v="BHD - Pentest Móvil MBE"/>
    <s v="GBM"/>
    <s v="MBE Android y Ios"/>
  </r>
  <r>
    <x v="8"/>
    <m/>
    <x v="20"/>
    <x v="102"/>
    <m/>
    <x v="0"/>
    <m/>
    <m/>
    <m/>
    <m/>
    <d v="2025-04-04T00:00:00"/>
    <s v="La segunda fase iniciara una vez se concluya con las pruebas de la fase "/>
    <s v="Pendiente"/>
    <m/>
    <s v="Vulnerable"/>
    <m/>
    <m/>
    <n v="0"/>
    <s v="VULN_PT_BP_11"/>
    <s v="10.BHD -  Penetration Testing Boton de Pago"/>
    <s v="Pentraze"/>
    <m/>
  </r>
  <r>
    <x v="3"/>
    <s v="Purple Team"/>
    <x v="10"/>
    <x v="103"/>
    <m/>
    <x v="2"/>
    <m/>
    <m/>
    <m/>
    <m/>
    <d v="2025-07-01T00:00:00"/>
    <m/>
    <s v="Cerrado"/>
    <s v="Pentraze"/>
    <s v="Corregido"/>
    <m/>
    <d v="2025-07-09T00:00:00"/>
    <n v="2"/>
    <s v="VULN_EA_CTCE_1"/>
    <s v="4.Emulación de Adversarios a Controles de Transferencias en Canales Electrónicos"/>
    <s v="Pentraze"/>
    <m/>
  </r>
  <r>
    <x v="8"/>
    <m/>
    <x v="20"/>
    <x v="104"/>
    <m/>
    <x v="0"/>
    <m/>
    <m/>
    <m/>
    <m/>
    <d v="2025-04-04T00:00:00"/>
    <s v="La segunda fase iniciara una vez se concluya con las pruebas de la fase "/>
    <s v="Pendiente"/>
    <m/>
    <s v="Vulnerable"/>
    <m/>
    <m/>
    <n v="0"/>
    <s v="VULN_PT_BP_4"/>
    <s v="10.BHD -  Penetration Testing Boton de Pago"/>
    <s v="Pentraze"/>
    <m/>
  </r>
  <r>
    <x v="10"/>
    <m/>
    <x v="22"/>
    <x v="105"/>
    <m/>
    <x v="1"/>
    <m/>
    <s v="R3. Debilidades en el control de acceso a la red y aplicaciones del Banco"/>
    <s v="4. Riesgo de no contar con la Gestión adecuada a las aplicaciones BIA (accesos, perfilamientos, cambios, desaprovisionamiento de usuarios) "/>
    <m/>
    <m/>
    <m/>
    <s v="Cerrado"/>
    <s v="Pentraze"/>
    <s v="Corregido"/>
    <m/>
    <d v="2024-10-31T00:00:00"/>
    <n v="1"/>
    <s v="VULN_IP_TPC_2"/>
    <s v="9.BHD - Informe Penetration Testing Preaprobación Comercial"/>
    <s v="Pentraze"/>
    <s v="https://api-ppd.bhdleon.com.do/bhdleon/api/v1/personal/pega-self-service/cases"/>
  </r>
  <r>
    <x v="13"/>
    <m/>
    <x v="31"/>
    <x v="106"/>
    <m/>
    <x v="0"/>
    <m/>
    <m/>
    <m/>
    <m/>
    <m/>
    <m/>
    <m/>
    <m/>
    <s v="Corregido"/>
    <m/>
    <m/>
    <n v="0"/>
    <m/>
    <s v="Vulnerabilidades sueltas"/>
    <m/>
    <m/>
  </r>
  <r>
    <x v="0"/>
    <s v="BHD"/>
    <x v="29"/>
    <x v="107"/>
    <s v="&gt;Restringir los permisos de administrador local a cuentas específicas que realmente lo necesiten._x000a_&gt;Aplicar medidas de seguridad adicionales para proteger las credenciales almacenadas, como el uso de LAPS o la segmentación adecuada de privilegios._x000a_&gt;Aplicar principio del menor privilegio (PoLP)._x000a_&gt;Revisar y ajustar los privilegios del grupo Domain Users para evitar accesos innecesarios."/>
    <x v="2"/>
    <m/>
    <m/>
    <m/>
    <m/>
    <m/>
    <m/>
    <s v="Cerrado"/>
    <s v="Pentraze"/>
    <s v="Corregido"/>
    <m/>
    <m/>
    <n v="1"/>
    <s v="VULN_PE_AD_5"/>
    <s v="1.Primera emulacion de adversario BHD_Active Directory"/>
    <s v="Pentraze"/>
    <s v="Infra_Active Directory"/>
  </r>
  <r>
    <x v="0"/>
    <s v="BHD"/>
    <x v="29"/>
    <x v="108"/>
    <s v="&gt;Deshabilitar IPv6 en los sistemas que no lo utilicen activamente o no lo necesiten, y monitorear las redes para detectar anomalías en el tráfico."/>
    <x v="1"/>
    <m/>
    <m/>
    <m/>
    <m/>
    <m/>
    <m/>
    <s v="Pendiente"/>
    <s v="Pentraze"/>
    <s v="Vulnerable"/>
    <m/>
    <d v="2025-01-23T00:00:00"/>
    <n v="2"/>
    <s v="VULN_PE_AD_6"/>
    <s v="1.Primera emulacion de adversario BHD_Active Directory"/>
    <s v="Pentraze"/>
    <s v="Infra_Active Directory"/>
  </r>
  <r>
    <x v="11"/>
    <s v="BHD"/>
    <x v="23"/>
    <x v="109"/>
    <s v="&gt;Asegúrese de que un usuario solo pueda recuperar información de sus propias cuentas."/>
    <x v="0"/>
    <m/>
    <m/>
    <m/>
    <m/>
    <m/>
    <m/>
    <s v="Pendiente"/>
    <s v="Pentraze"/>
    <s v="Vulnerable"/>
    <m/>
    <m/>
    <n v="0"/>
    <s v="VULN_IP_MBP_10"/>
    <s v="7.BHD - Informe Penetration Testing Mobile Banking Personal 1"/>
    <s v="Pentraze"/>
    <s v="MBP"/>
  </r>
  <r>
    <x v="4"/>
    <m/>
    <x v="0"/>
    <x v="110"/>
    <m/>
    <x v="0"/>
    <m/>
    <m/>
    <m/>
    <m/>
    <m/>
    <m/>
    <s v="Cerrado"/>
    <s v="Pentraze"/>
    <s v="Corregido"/>
    <m/>
    <m/>
    <n v="1"/>
    <m/>
    <s v="Vulnerabilidades sueltas"/>
    <m/>
    <m/>
  </r>
  <r>
    <x v="11"/>
    <s v="BHD"/>
    <x v="23"/>
    <x v="111"/>
    <s v="&gt;Devuelve solo los datos estrictamente necesarios en las respuestas de la API._x000a_&gt;Asegúrese de que todas las solicitudes sean autenticadas usando métodos seguros y restringe los datos visibles en las respuestas dependiendo del rol del usuario."/>
    <x v="0"/>
    <m/>
    <m/>
    <m/>
    <m/>
    <m/>
    <m/>
    <s v="Pendiente"/>
    <s v="Pentraze"/>
    <s v="Vulnerable"/>
    <m/>
    <m/>
    <n v="0"/>
    <s v="VULN_IP_MBP_11"/>
    <s v="7.BHD - Informe Penetration Testing Mobile Banking Personal 1"/>
    <s v="Pentraze"/>
    <s v="MBP"/>
  </r>
  <r>
    <x v="3"/>
    <s v="Purple Team"/>
    <x v="23"/>
    <x v="112"/>
    <m/>
    <x v="0"/>
    <m/>
    <m/>
    <m/>
    <m/>
    <d v="2025-08-01T00:00:00"/>
    <m/>
    <s v="Pendiente"/>
    <s v="Pentraze"/>
    <s v="Vulnerable"/>
    <m/>
    <m/>
    <n v="0"/>
    <s v="VULN_EA_CTCE_10"/>
    <s v="4.Emulación de Adversarios a Controles de Transferencias en Canales Electrónicos"/>
    <s v="Pentraze"/>
    <m/>
  </r>
  <r>
    <x v="10"/>
    <m/>
    <x v="22"/>
    <x v="113"/>
    <m/>
    <x v="0"/>
    <m/>
    <s v="R2. Inadecuada protección de fuga de información"/>
    <s v="5. Riesgo de no contar con protecciones que detecten salida de información no regular a nivel red y a nivel usuario final"/>
    <m/>
    <m/>
    <m/>
    <s v="Pendiente"/>
    <s v="Pentraze"/>
    <s v="Vulnerable"/>
    <m/>
    <d v="2024-10-22T00:00:00"/>
    <n v="1"/>
    <s v="VULN_IP_TPC_7"/>
    <s v="9.BHD - Informe Penetration Testing Preaprobación Comercial"/>
    <s v="Pentraze"/>
    <s v="https://api-ppd.bhdleon.com.do/bhdleon/api/v1/personal/login"/>
  </r>
  <r>
    <x v="11"/>
    <s v="BHD"/>
    <x v="23"/>
    <x v="114"/>
    <s v="&gt;Cambiar las respuestas de una forma tal que un atacante no tenga forma de identificar si un usuario existe o no."/>
    <x v="0"/>
    <m/>
    <m/>
    <m/>
    <m/>
    <m/>
    <m/>
    <s v="Pendiente"/>
    <s v="Pentraze"/>
    <s v="Vulnerable"/>
    <m/>
    <m/>
    <n v="0"/>
    <s v="VULN_IP_MBP_12"/>
    <s v="7.BHD - Informe Penetration Testing Mobile Banking Personal 1"/>
    <s v="Pentraze"/>
    <s v="MBP"/>
  </r>
  <r>
    <x v="6"/>
    <s v="Fondo"/>
    <x v="16"/>
    <x v="115"/>
    <s v="&gt;Asegúrese de que los mensajes de error solo contengan detalles mínimos que sean útiles para el público objetivo y para nadie más."/>
    <x v="0"/>
    <m/>
    <m/>
    <m/>
    <m/>
    <m/>
    <m/>
    <s v="En Proceso"/>
    <s v="Pentraze"/>
    <s v="Vulnerable"/>
    <m/>
    <d v="2025-08-21T00:00:00"/>
    <n v="2"/>
    <s v="VULN_PP_SC_7"/>
    <s v="11.Pruebas de Penetración a SIFI Cloud"/>
    <s v="Pentraze"/>
    <s v="SIFI Cloud"/>
  </r>
  <r>
    <x v="6"/>
    <s v="Fondo"/>
    <x v="16"/>
    <x v="116"/>
    <s v="&gt;Asegúrese de que los mensajes de error solo contengan detalles mínimos que sean útiles para el público objetivo y para nadie más."/>
    <x v="0"/>
    <m/>
    <m/>
    <m/>
    <m/>
    <m/>
    <m/>
    <s v="En Proceso"/>
    <s v="Pentraze"/>
    <s v="Vulnerable"/>
    <m/>
    <d v="2025-08-21T00:00:00"/>
    <n v="2"/>
    <s v="VULN_PP_SC_5"/>
    <s v="11.Pruebas de Penetración a SIFI Cloud"/>
    <s v="Pentraze"/>
    <s v="SIFI Cloud"/>
  </r>
  <r>
    <x v="6"/>
    <s v="Fondo"/>
    <x v="16"/>
    <x v="117"/>
    <s v="&gt;Asegúrese de que los mensajes de error solo contengan detalles mínimos que sean útiles para el público objetivo y para nadie más."/>
    <x v="0"/>
    <m/>
    <m/>
    <m/>
    <m/>
    <m/>
    <m/>
    <s v="En Proceso"/>
    <s v="Pentraze"/>
    <s v="Vulnerable"/>
    <m/>
    <d v="2025-08-21T00:00:00"/>
    <n v="2"/>
    <s v="VULN_PP_SC_6"/>
    <s v="11.Pruebas de Penetración a SIFI Cloud"/>
    <s v="Pentraze"/>
    <s v="SIFI Cloud"/>
  </r>
  <r>
    <x v="11"/>
    <s v="BHD"/>
    <x v="23"/>
    <x v="118"/>
    <s v="&gt;Aplicar esta validación del requerimiento de la tarjeta de claves a nivel de backend."/>
    <x v="1"/>
    <m/>
    <m/>
    <m/>
    <m/>
    <m/>
    <m/>
    <s v="Pendiente"/>
    <s v="Pentraze"/>
    <s v="Vulnerable"/>
    <m/>
    <m/>
    <n v="0"/>
    <s v="VULN_IP_MBP_2"/>
    <s v="7.BHD - Informe Penetration Testing Mobile Banking Personal 1"/>
    <s v="Pentraze"/>
    <s v="MBP"/>
  </r>
  <r>
    <x v="11"/>
    <s v="BHD"/>
    <x v="23"/>
    <x v="58"/>
    <s v="&gt;Asegurese que el servidor sea el que maneje las respuestas a aceptar por parte del cliente._x000a_&gt;Reemplazar las preguntas de seguridad con mecanismos robustos como OTPs"/>
    <x v="1"/>
    <m/>
    <m/>
    <m/>
    <m/>
    <m/>
    <m/>
    <s v="Cerrado"/>
    <s v="Pentraze"/>
    <s v="Corregido"/>
    <m/>
    <m/>
    <n v="3"/>
    <s v="VULN_IP_MBP_3"/>
    <s v="7.BHD - Informe Penetration Testing Mobile Banking Personal 1"/>
    <s v="Pentraze"/>
    <s v="MBP"/>
  </r>
  <r>
    <x v="0"/>
    <s v="BHD"/>
    <x v="29"/>
    <x v="119"/>
    <s v="&gt;Revisar y ajustar los permisos del grupo Everyone para evitar accesos innecesarios._x000a_&gt;Aplicar principio del menor privilegio (PoLP)."/>
    <x v="1"/>
    <m/>
    <m/>
    <m/>
    <m/>
    <m/>
    <m/>
    <s v="Cerrado"/>
    <s v="Pentraze"/>
    <s v="Corregido"/>
    <m/>
    <m/>
    <n v="1"/>
    <s v="VULN_PE_AD_7"/>
    <s v="1.Primera emulacion de adversario BHD_Active Directory"/>
    <s v="Pentraze"/>
    <s v="Infra_Active Directory"/>
  </r>
  <r>
    <x v="0"/>
    <s v="BHD"/>
    <x v="29"/>
    <x v="120"/>
    <s v="&gt;Configurar y enforzar SMB Signing"/>
    <x v="1"/>
    <m/>
    <m/>
    <m/>
    <m/>
    <m/>
    <m/>
    <s v="Cerrado"/>
    <s v="Pentraze"/>
    <s v="Corregido"/>
    <m/>
    <d v="2024-10-22T00:00:00"/>
    <n v="1"/>
    <s v="VULN_PE_AD_8"/>
    <s v="1.Primera emulacion de adversario BHD_Active Directory"/>
    <s v="Pentraze"/>
    <s v="Infra_Active Directory"/>
  </r>
  <r>
    <x v="0"/>
    <s v="BHD"/>
    <x v="29"/>
    <x v="121"/>
    <s v="&gt;Habilitar y enforzar LDAP signing"/>
    <x v="1"/>
    <m/>
    <m/>
    <m/>
    <m/>
    <m/>
    <m/>
    <s v="Cerrado"/>
    <s v="Pentraze"/>
    <s v="Corregido"/>
    <m/>
    <d v="2025-08-26T00:00:00"/>
    <n v="2"/>
    <s v="VULN_PE_AD_9"/>
    <s v="1.Primera emulacion de adversario BHD_Active Directory"/>
    <s v="Pentraze"/>
    <s v="Infra_Active Directory"/>
  </r>
  <r>
    <x v="0"/>
    <s v="BHD"/>
    <x v="32"/>
    <x v="122"/>
    <s v="&gt;La información sensible dentro de los archivos .config debe ser cifrada utilizando mecanismos como Data Protection API (DPAPI) o aspnet_regiis._x000a_&gt;Archivos de configuración y otro tipo de data sensible, debe ser colocada dentro del archivo .gitignore y así evitar ser subidos al repositorio."/>
    <x v="2"/>
    <m/>
    <m/>
    <m/>
    <s v="Yeudis Guzman"/>
    <m/>
    <m/>
    <s v="Cerrado"/>
    <s v="Pentraze"/>
    <s v="Corregido"/>
    <m/>
    <d v="2025-03-12T00:00:00"/>
    <n v="3"/>
    <m/>
    <s v="Primera emulacion de adversario BHD_DevOps"/>
    <s v="Pentraze"/>
    <s v="Infra_DevOps"/>
  </r>
  <r>
    <x v="0"/>
    <s v="BHD"/>
    <x v="33"/>
    <x v="123"/>
    <m/>
    <x v="2"/>
    <m/>
    <m/>
    <m/>
    <m/>
    <m/>
    <m/>
    <s v="Cerrado"/>
    <s v="Pentraze"/>
    <s v="Corregido"/>
    <m/>
    <m/>
    <n v="1"/>
    <m/>
    <s v="Primera emulacion de adversario BHD_Politicas de passwords insegura"/>
    <s v="Pentraze"/>
    <s v="ATMs"/>
  </r>
  <r>
    <x v="11"/>
    <s v="BHD"/>
    <x v="23"/>
    <x v="124"/>
    <s v="&gt;Asegúrese de que las peticiones a productos y servicios realizadas por el cliente, pertenezcan al mismo."/>
    <x v="0"/>
    <m/>
    <m/>
    <m/>
    <m/>
    <m/>
    <m/>
    <s v="Pendiente"/>
    <s v="Pentraze"/>
    <s v="Vulnerable"/>
    <m/>
    <m/>
    <n v="0"/>
    <s v="VULN_IP_MBP_4"/>
    <s v="7.BHD - Informe Penetration Testing Mobile Banking Personal 1"/>
    <s v="Pentraze"/>
    <s v="MBP"/>
  </r>
  <r>
    <x v="0"/>
    <s v="BHD"/>
    <x v="34"/>
    <x v="125"/>
    <s v="&gt;Cambiar las credenciales por defecto por contraseñas robustas que contengan caracteres especiales y sean difíciles de adivinar._x000a_&gt;Implementar políticas de contraseñas robustas y autenticación multifactor para acceder a los sistemas de administración"/>
    <x v="2"/>
    <m/>
    <m/>
    <m/>
    <m/>
    <m/>
    <m/>
    <s v="Cerrado"/>
    <s v="Pentraze"/>
    <s v="Corregido"/>
    <m/>
    <m/>
    <n v="1"/>
    <m/>
    <s v="Primera emulacion de adversario BHD_Politicas de passwords insegura"/>
    <s v="Pentraze"/>
    <s v="Infra_Passwords Default o Reutilizado"/>
  </r>
  <r>
    <x v="0"/>
    <s v="BHD"/>
    <x v="32"/>
    <x v="126"/>
    <s v="&gt;Remover dicha ruta en la API, es una muy mala práctica de seguridad el otorgar estas credenciales a los clientes de la página, pasar toda esta funcionalidad al backend."/>
    <x v="2"/>
    <m/>
    <m/>
    <m/>
    <m/>
    <m/>
    <m/>
    <s v="Cerrado"/>
    <s v="Pentraze"/>
    <s v="Corregido"/>
    <m/>
    <m/>
    <n v="3"/>
    <m/>
    <s v="Primera emulacion de adversario BHD_DevOps"/>
    <s v="Pentraze"/>
    <s v="Infra_DevOps"/>
  </r>
  <r>
    <x v="0"/>
    <s v="BHD"/>
    <x v="32"/>
    <x v="127"/>
    <s v="&gt;Evite almacenar datos sensibles en el frontend de la página y mantener toda la lógica crítica en el backend."/>
    <x v="1"/>
    <m/>
    <m/>
    <m/>
    <s v="Yeudis Guzman"/>
    <d v="2024-12-31T00:00:00"/>
    <m/>
    <s v="Cerrado"/>
    <s v="Pentraze"/>
    <s v="Corregido"/>
    <m/>
    <d v="2025-03-12T00:00:00"/>
    <n v="5"/>
    <m/>
    <s v="Primera emulacion de adversario BHD_DevOps"/>
    <s v="Pentraze"/>
    <s v="Infra_DevOps"/>
  </r>
  <r>
    <x v="10"/>
    <m/>
    <x v="22"/>
    <x v="128"/>
    <m/>
    <x v="1"/>
    <m/>
    <s v="R3. Debilidades en el control de acceso a la red y aplicaciones del Banco"/>
    <s v="4. Riesgo de no contar con la Gestión adecuada a las aplicaciones BIA (accesos, perfilamientos, cambios, desaprovisionamiento de usuarios) "/>
    <m/>
    <m/>
    <m/>
    <s v="Cerrado"/>
    <s v="Pentraze"/>
    <s v="Corregido"/>
    <m/>
    <d v="2024-10-31T00:00:00"/>
    <n v="1"/>
    <s v="VULN_IP_TPC_8"/>
    <s v="9.BHD - Informe Penetration Testing Preaprobación Comercial"/>
    <s v="Pentraze"/>
    <s v="https://api-ppd.bhdleon.com.do/bhdleon/api/v1/personal/pega-self-service/cases"/>
  </r>
  <r>
    <x v="8"/>
    <m/>
    <x v="20"/>
    <x v="129"/>
    <m/>
    <x v="0"/>
    <s v="Riesgo Critico PCI DSS"/>
    <m/>
    <m/>
    <m/>
    <m/>
    <m/>
    <s v="Pendiente"/>
    <m/>
    <s v="Vulnerable"/>
    <m/>
    <m/>
    <n v="0"/>
    <s v="VULN_PT_BP_13"/>
    <s v="10.BHD -  Penetration Testing Boton de Pago"/>
    <s v="Pentraze"/>
    <m/>
  </r>
  <r>
    <x v="3"/>
    <s v="Purple Team"/>
    <x v="23"/>
    <x v="130"/>
    <m/>
    <x v="0"/>
    <m/>
    <m/>
    <m/>
    <m/>
    <d v="2025-08-01T00:00:00"/>
    <m/>
    <s v="Pendiente"/>
    <s v="Pentraze"/>
    <s v="Vulnerable"/>
    <m/>
    <m/>
    <n v="1"/>
    <s v="VULN_EA_CTCE_8"/>
    <s v="4.Emulación de Adversarios a Controles de Transferencias en Canales Electrónicos"/>
    <s v="Pentraze"/>
    <m/>
  </r>
  <r>
    <x v="13"/>
    <m/>
    <x v="31"/>
    <x v="131"/>
    <m/>
    <x v="3"/>
    <m/>
    <m/>
    <m/>
    <m/>
    <m/>
    <m/>
    <s v="Pendiente"/>
    <m/>
    <s v="Corregido"/>
    <m/>
    <m/>
    <n v="0"/>
    <m/>
    <s v="BHD - Evaluación de Aplicaciones Tableau"/>
    <s v="SISAP"/>
    <m/>
  </r>
  <r>
    <x v="11"/>
    <s v="BHD"/>
    <x v="23"/>
    <x v="132"/>
    <s v="&gt;Asegúrese de que las peticiones a productos y servicios realizadas por el cliente, pertenezcan al mismo."/>
    <x v="0"/>
    <m/>
    <m/>
    <m/>
    <m/>
    <m/>
    <m/>
    <s v="Pendiente"/>
    <s v="Pentraze"/>
    <s v="Vulnerable"/>
    <m/>
    <m/>
    <n v="0"/>
    <s v="VULN_IP_MBP_5"/>
    <s v="7.BHD - Informe Penetration Testing Mobile Banking Personal 1"/>
    <s v="Pentraze"/>
    <s v="MBP"/>
  </r>
  <r>
    <x v="11"/>
    <s v="BHD"/>
    <x v="23"/>
    <x v="133"/>
    <s v="&gt;Asegúrese de que las peticiones a productos y servicios realizadas por el cliente, pertenezcan al mismo."/>
    <x v="0"/>
    <m/>
    <m/>
    <m/>
    <m/>
    <m/>
    <m/>
    <s v="Pendiente"/>
    <s v="Pentraze"/>
    <s v="Vulnerable"/>
    <m/>
    <m/>
    <n v="0"/>
    <s v="VULN_IP_MBP_6"/>
    <s v="7.BHD - Informe Penetration Testing Mobile Banking Personal 1"/>
    <s v="Pentraze"/>
    <s v="MBP"/>
  </r>
  <r>
    <x v="11"/>
    <s v="BHD"/>
    <x v="23"/>
    <x v="5"/>
    <s v="&gt;Implementar enmascaramiento de datos: Asegurar que todos los números de tarjeta de crédito mostrados en las interfaces de usuario estén enmascarados, mostrando solo los primeros y últimos cuatro dígitos, conforme al estándar PCI DSS._x000a_&gt;Implementar tokenización para reemplazar los números de tarjeta expuestos por identificadores únicos y aleatorios (tokens)."/>
    <x v="0"/>
    <m/>
    <m/>
    <m/>
    <m/>
    <m/>
    <m/>
    <s v="Pendiente"/>
    <s v="Pentraze"/>
    <s v="Vulnerable"/>
    <m/>
    <m/>
    <n v="0"/>
    <s v="VULN_IP_MBP_7"/>
    <s v="7.BHD - Informe Penetration Testing Mobile Banking Personal 1"/>
    <s v="Pentraze"/>
    <s v="MBP"/>
  </r>
  <r>
    <x v="0"/>
    <s v="BHD"/>
    <x v="10"/>
    <x v="134"/>
    <m/>
    <x v="0"/>
    <m/>
    <m/>
    <m/>
    <m/>
    <m/>
    <m/>
    <s v="Cerrado"/>
    <s v="Pentraze"/>
    <s v="Corregido"/>
    <m/>
    <m/>
    <n v="2"/>
    <m/>
    <s v="Primera emulacion de adversario BHD"/>
    <s v="Pentraze"/>
    <m/>
  </r>
  <r>
    <x v="6"/>
    <s v="Fondo"/>
    <x v="16"/>
    <x v="135"/>
    <s v="&gt;Realice validaciones de identidad utilizando métodos alternativos como correo electrónico._x000a_&gt;Envíe un correo electrónico al usuario para informarle que su contraseña ha sido restablecida (¡no envíe la contraseña en el correo electrónico!)._x000a_&gt;En caso de seguir utilizando preguntas de seguridad, utilice TextBox en lugar de ComboBox para eludir la enumeración por discrepancia."/>
    <x v="1"/>
    <m/>
    <m/>
    <m/>
    <m/>
    <m/>
    <m/>
    <s v="Cerrado"/>
    <s v="Pentraze"/>
    <s v="Corregido"/>
    <m/>
    <d v="2025-05-08T00:00:00"/>
    <n v="2"/>
    <s v="VULN_PP_SC_3"/>
    <s v="11.Pruebas de Penetración a SIFI Cloud"/>
    <s v="Pentraze"/>
    <m/>
  </r>
  <r>
    <x v="8"/>
    <m/>
    <x v="20"/>
    <x v="136"/>
    <m/>
    <x v="1"/>
    <m/>
    <m/>
    <m/>
    <m/>
    <d v="2025-09-05T00:00:00"/>
    <s v="Se inicio con el analisis, pero por temas de prioridad se tuvo que detener. Se esta planificando retomar las sesiones para el primer sprint de enero."/>
    <s v="Pendiente"/>
    <m/>
    <s v="Vulnerable"/>
    <m/>
    <m/>
    <n v="0"/>
    <s v="VULN_PT_BP_7"/>
    <s v="10.BHD -  Penetration Testing Boton de Pago"/>
    <s v="Pentraze"/>
    <m/>
  </r>
  <r>
    <x v="11"/>
    <s v="BHD"/>
    <x v="23"/>
    <x v="137"/>
    <s v="&gt;Asegúrese de que un usuario solo pueda recuperar información de sus propias cuentas."/>
    <x v="0"/>
    <m/>
    <m/>
    <m/>
    <m/>
    <m/>
    <m/>
    <s v="Pendiente"/>
    <s v="Pentraze"/>
    <s v="Vulnerable"/>
    <m/>
    <m/>
    <n v="0"/>
    <s v="VULN_IP_MBP_8"/>
    <s v="7.BHD - Informe Penetration Testing Mobile Banking Personal 1"/>
    <s v="Pentraze"/>
    <s v="MBP"/>
  </r>
  <r>
    <x v="10"/>
    <m/>
    <x v="22"/>
    <x v="138"/>
    <m/>
    <x v="1"/>
    <m/>
    <s v="R8. Debilidades en el desarrollo de Software"/>
    <s v="2. Riesgo de no contar con una metodología de código seguro en el desarrollo de aplicaciones,"/>
    <m/>
    <m/>
    <m/>
    <s v="Cerrado"/>
    <s v="Pentraze"/>
    <s v="Corregido"/>
    <m/>
    <d v="2024-10-22T00:00:00"/>
    <n v="1"/>
    <s v="VULN_IP_TPC_1"/>
    <s v="9.BHD - Informe Penetration Testing Preaprobación Comercial"/>
    <s v="Pentraze"/>
    <s v="com.artech.infocorp_bhd.bhd.dev"/>
  </r>
  <r>
    <x v="14"/>
    <m/>
    <x v="35"/>
    <x v="139"/>
    <m/>
    <x v="1"/>
    <m/>
    <m/>
    <m/>
    <s v="Kelvin Garcia"/>
    <m/>
    <m/>
    <s v="Cerrado"/>
    <m/>
    <s v="Corregido"/>
    <m/>
    <m/>
    <n v="1"/>
    <m/>
    <s v="Vulnerabilidades sueltas"/>
    <s v="SISAP"/>
    <m/>
  </r>
  <r>
    <x v="11"/>
    <s v="BHD"/>
    <x v="23"/>
    <x v="140"/>
    <s v="&gt;Asegúrese de que los mensajes por parte del servidor sean genéricos sin importar si el usuario existe o no. Proveer detalles mínimos que sean útiles para el público objetivo y para nadie más."/>
    <x v="0"/>
    <m/>
    <m/>
    <m/>
    <m/>
    <m/>
    <m/>
    <s v="Pendiente"/>
    <s v="Pentraze"/>
    <s v="Vulnerable"/>
    <m/>
    <m/>
    <n v="0"/>
    <s v="VULN_IP_MBP_9"/>
    <s v="7.BHD - Informe Penetration Testing Mobile Banking Personal 1"/>
    <s v="Pentraze"/>
    <s v="MBP"/>
  </r>
  <r>
    <x v="0"/>
    <s v="BHD"/>
    <x v="36"/>
    <x v="141"/>
    <s v="&gt;Cambiar las credenciales por defecto de la impresora y de cualquier otro dispositivo de red._x000a_&gt;Implementar políticas de contraseñas robustas y autenticación multifactor para acceder a los sistemas de administración."/>
    <x v="2"/>
    <m/>
    <m/>
    <m/>
    <m/>
    <m/>
    <m/>
    <s v="Cerrado"/>
    <s v="Pentraze"/>
    <s v="Corregido"/>
    <m/>
    <m/>
    <n v="1"/>
    <m/>
    <s v="Primera emulacion de adversario BHD_Politicas de passwords insegura"/>
    <s v="Pentraze"/>
    <s v="Infra_Passwords Default o Reutilizado"/>
  </r>
  <r>
    <x v="5"/>
    <m/>
    <x v="0"/>
    <x v="142"/>
    <m/>
    <x v="1"/>
    <m/>
    <m/>
    <m/>
    <m/>
    <m/>
    <m/>
    <s v="Pendiente"/>
    <m/>
    <s v="Vulnerable"/>
    <m/>
    <m/>
    <n v="1"/>
    <m/>
    <s v="Vulnerabilidades sueltas"/>
    <m/>
    <m/>
  </r>
  <r>
    <x v="5"/>
    <s v="BHD"/>
    <x v="11"/>
    <x v="143"/>
    <m/>
    <x v="1"/>
    <m/>
    <m/>
    <m/>
    <m/>
    <m/>
    <m/>
    <s v="Cerrado"/>
    <s v="Pentraze"/>
    <s v="Corregido"/>
    <m/>
    <m/>
    <n v="1"/>
    <m/>
    <s v="Vulnerabilidades sueltas"/>
    <m/>
    <m/>
  </r>
  <r>
    <x v="3"/>
    <s v="Purple Team"/>
    <x v="37"/>
    <x v="144"/>
    <m/>
    <x v="1"/>
    <m/>
    <m/>
    <m/>
    <m/>
    <d v="2025-07-01T00:00:00"/>
    <m/>
    <s v="Pendiente"/>
    <s v="Pentraze"/>
    <s v="Vulnerable"/>
    <m/>
    <m/>
    <n v="0"/>
    <s v="VULN_EA_CTCE_3"/>
    <s v="4.Emulación de Adversarios a Controles de Transferencias en Canales Electrónicos"/>
    <s v="Pentraze"/>
    <m/>
  </r>
  <r>
    <x v="0"/>
    <s v="BHD"/>
    <x v="0"/>
    <x v="145"/>
    <m/>
    <x v="1"/>
    <m/>
    <m/>
    <m/>
    <m/>
    <m/>
    <m/>
    <s v="Cerrado"/>
    <s v="Pentraze"/>
    <s v="Corregido"/>
    <m/>
    <m/>
    <n v="1"/>
    <m/>
    <s v="Primera emulacion de adversario BHD_Politicas de passwords insegura"/>
    <s v="Pentraze"/>
    <m/>
  </r>
  <r>
    <x v="15"/>
    <m/>
    <x v="28"/>
    <x v="146"/>
    <m/>
    <x v="0"/>
    <m/>
    <s v="Ausencia de protección contra ataques cibernético"/>
    <m/>
    <m/>
    <m/>
    <m/>
    <s v="Cerrado"/>
    <m/>
    <s v="Corregido"/>
    <m/>
    <m/>
    <n v="1"/>
    <m/>
    <s v="BHD - Prueba de Penetración Web - Pagadores de Remesas"/>
    <s v="GBM"/>
    <s v="WEB"/>
  </r>
  <r>
    <x v="8"/>
    <m/>
    <x v="20"/>
    <x v="147"/>
    <s v="&gt;Configurar la aplicación para limitar el número de intentos de inicio de sesión fallidos permitidos por token obtenido._x000a_&gt;Requerir que el usuario complete un CAPTCHA antes de permitir re-intentar de iniciar sesión."/>
    <x v="1"/>
    <m/>
    <m/>
    <m/>
    <m/>
    <d v="2025-09-05T00:00:00"/>
    <s v="Se inicio con el analisis, pero por temas de prioridad se tuvo que detener. Se esta planificando retomar las sesiones para el primer sprint de enero."/>
    <s v="Pendiente"/>
    <s v="Pentraze"/>
    <s v="Vulnerable"/>
    <s v="Solo se mando a probar en primera instancia en IBP"/>
    <m/>
    <n v="2"/>
    <s v="VULN_PT_BP_12"/>
    <s v="10.BHD -  Penetration Testing Boton de Pago"/>
    <s v="Pentraze"/>
    <m/>
  </r>
  <r>
    <x v="0"/>
    <s v="BHD"/>
    <x v="38"/>
    <x v="148"/>
    <m/>
    <x v="1"/>
    <m/>
    <m/>
    <m/>
    <m/>
    <m/>
    <m/>
    <s v="Cerrado"/>
    <s v="Pentraze"/>
    <s v="Corregido"/>
    <m/>
    <m/>
    <n v="1"/>
    <m/>
    <s v="Primera emulacion de adversario BHD_Politicas de passwords insegura"/>
    <s v="Pentraze"/>
    <m/>
  </r>
  <r>
    <x v="15"/>
    <m/>
    <x v="28"/>
    <x v="149"/>
    <m/>
    <x v="3"/>
    <m/>
    <s v="Falta de la confidencialidad "/>
    <m/>
    <m/>
    <m/>
    <m/>
    <s v="Cerrado"/>
    <m/>
    <s v="Corregido"/>
    <m/>
    <m/>
    <n v="1"/>
    <m/>
    <s v="BHD - Prueba de Penetración Web - Pagadores de Remesas"/>
    <s v="GBM"/>
    <s v="WEB"/>
  </r>
  <r>
    <x v="8"/>
    <m/>
    <x v="20"/>
    <x v="150"/>
    <m/>
    <x v="1"/>
    <m/>
    <m/>
    <m/>
    <m/>
    <m/>
    <m/>
    <s v="Pendiente"/>
    <m/>
    <s v="Vulnerable"/>
    <m/>
    <m/>
    <n v="0"/>
    <s v="VULN_PT_BP_8"/>
    <s v="10.BHD -  Penetration Testing Boton de Pago"/>
    <s v="Pentraze"/>
    <m/>
  </r>
  <r>
    <x v="8"/>
    <m/>
    <x v="20"/>
    <x v="151"/>
    <m/>
    <x v="1"/>
    <m/>
    <m/>
    <m/>
    <m/>
    <d v="2025-03-21T00:00:00"/>
    <s v="Hemos concluido con el desarrollo del lado de las APIs, estamos en el proceso de despliegue. "/>
    <s v="Pendiente"/>
    <m/>
    <s v="Vulnerable"/>
    <m/>
    <m/>
    <n v="0"/>
    <s v="VULN_PT_BP_10"/>
    <s v="10.BHD -  Penetration Testing Boton de Pago"/>
    <s v="Pentraze"/>
    <m/>
  </r>
  <r>
    <x v="15"/>
    <m/>
    <x v="28"/>
    <x v="152"/>
    <m/>
    <x v="3"/>
    <m/>
    <s v="Ausencia de protección contra ataques cibernético"/>
    <m/>
    <m/>
    <m/>
    <m/>
    <s v="Cerrado"/>
    <m/>
    <s v="Corregido"/>
    <m/>
    <m/>
    <n v="1"/>
    <m/>
    <s v="BHD - Prueba de Penetración Web - Pagadores de Remesas"/>
    <s v="GBM"/>
    <s v="WEB"/>
  </r>
  <r>
    <x v="8"/>
    <m/>
    <x v="20"/>
    <x v="153"/>
    <m/>
    <x v="1"/>
    <m/>
    <m/>
    <m/>
    <m/>
    <d v="2025-09-05T00:00:00"/>
    <s v="Se inicio con el analisis, pero por temas de prioridad se tuvo que detener. Se esta planificando retomar las sesiones para el primer sprint de enero."/>
    <s v="Pendiente"/>
    <m/>
    <s v="Vulnerable"/>
    <m/>
    <m/>
    <n v="0"/>
    <s v="VULN_PT_BP_3"/>
    <s v="10.BHD -  Penetration Testing Boton de Pago"/>
    <s v="Pentraze"/>
    <m/>
  </r>
  <r>
    <x v="15"/>
    <m/>
    <x v="28"/>
    <x v="154"/>
    <m/>
    <x v="0"/>
    <m/>
    <s v="Ausencia de protección contra ataques cibernético"/>
    <m/>
    <m/>
    <m/>
    <m/>
    <s v="Cerrado"/>
    <m/>
    <s v="Corregido"/>
    <m/>
    <m/>
    <n v="1"/>
    <m/>
    <s v="BHD - Prueba de Penetración Web - Pagadores de Remesas"/>
    <s v="GBM"/>
    <s v="WEB"/>
  </r>
  <r>
    <x v="13"/>
    <m/>
    <x v="39"/>
    <x v="155"/>
    <m/>
    <x v="1"/>
    <m/>
    <m/>
    <m/>
    <m/>
    <m/>
    <m/>
    <s v="Pendiente"/>
    <m/>
    <s v="Vulnerable"/>
    <m/>
    <m/>
    <n v="0"/>
    <m/>
    <s v="BHD - Certificate Onboarding Certificados Financieros 2"/>
    <s v="F2TC"/>
    <m/>
  </r>
  <r>
    <x v="0"/>
    <s v="BHD"/>
    <x v="40"/>
    <x v="156"/>
    <s v="&gt;Cambiar las credenciales por defecto de la impresora y de cualquier otro dispositivo de red._x000a_&gt;Implementar políticas de contraseñas robustas y autenticación multifactor para acceder a los sistemas de administración."/>
    <x v="1"/>
    <m/>
    <m/>
    <m/>
    <m/>
    <m/>
    <m/>
    <s v="Cerrado"/>
    <s v="Pentraze"/>
    <s v="Corregido"/>
    <m/>
    <d v="2025-06-04T00:00:00"/>
    <n v="1"/>
    <m/>
    <s v="Primera emulacion de adversario BHD_Politicas de passwords insegura"/>
    <s v="Pentraze"/>
    <s v="Red BHD"/>
  </r>
  <r>
    <x v="15"/>
    <m/>
    <x v="28"/>
    <x v="157"/>
    <m/>
    <x v="3"/>
    <m/>
    <s v="R8. Debilidades en el desarrollo de Software"/>
    <s v="2. Riesgo de no contar con una metodología de código seguro en el desarrollo de aplicaciones,"/>
    <m/>
    <m/>
    <m/>
    <s v="Cerrado"/>
    <m/>
    <s v="Corregido"/>
    <m/>
    <m/>
    <n v="1"/>
    <m/>
    <s v="BHD - Prueba de Penetración Web - Pagadores de Remesas"/>
    <s v="GBM"/>
    <s v="WEB"/>
  </r>
  <r>
    <x v="5"/>
    <s v="BHD"/>
    <x v="0"/>
    <x v="158"/>
    <m/>
    <x v="0"/>
    <m/>
    <m/>
    <m/>
    <m/>
    <m/>
    <m/>
    <s v="Para Re Test"/>
    <s v="Pentraze"/>
    <s v="Vulnerable"/>
    <m/>
    <d v="2025-06-24T00:00:00"/>
    <n v="1"/>
    <m/>
    <s v="Vulnerabilidades sueltas"/>
    <s v="Pentraze"/>
    <m/>
  </r>
  <r>
    <x v="16"/>
    <s v="BHD"/>
    <x v="41"/>
    <x v="159"/>
    <m/>
    <x v="0"/>
    <m/>
    <m/>
    <m/>
    <m/>
    <m/>
    <m/>
    <s v="Cerrado"/>
    <s v="Pentraze"/>
    <s v="Desestimado"/>
    <m/>
    <d v="2025-06-17T00:00:00"/>
    <n v="0"/>
    <m/>
    <s v="Prueba de Penetración a API de Generación y Consulta de Código QR"/>
    <s v="Pentraze"/>
    <m/>
  </r>
  <r>
    <x v="5"/>
    <s v="BHDIB"/>
    <x v="0"/>
    <x v="46"/>
    <m/>
    <x v="1"/>
    <m/>
    <m/>
    <m/>
    <s v="Ramon Guzman"/>
    <m/>
    <m/>
    <s v="Cerrado"/>
    <s v="Pentraze"/>
    <s v="Corregido"/>
    <m/>
    <m/>
    <n v="1"/>
    <m/>
    <s v="Vulnerabilidades sueltas"/>
    <m/>
    <m/>
  </r>
  <r>
    <x v="4"/>
    <s v="BHD"/>
    <x v="30"/>
    <x v="160"/>
    <m/>
    <x v="3"/>
    <m/>
    <m/>
    <m/>
    <m/>
    <m/>
    <m/>
    <m/>
    <m/>
    <s v="Corregido"/>
    <m/>
    <m/>
    <n v="0"/>
    <m/>
    <s v="Prueba de Penetración Interna"/>
    <s v="SISAP"/>
    <m/>
  </r>
  <r>
    <x v="0"/>
    <s v="BHD"/>
    <x v="42"/>
    <x v="161"/>
    <s v="&gt;Cambiar las credenciales por defecto y aplicar contraseñas seguras._x000a_&gt;Implementar políticas de contraseñas robustas y autenticación multifactor para acceder a los sistemas de administración."/>
    <x v="1"/>
    <m/>
    <m/>
    <m/>
    <m/>
    <m/>
    <m/>
    <s v="Cerrado"/>
    <s v="Pentraze"/>
    <s v="Corregido"/>
    <m/>
    <m/>
    <n v="1"/>
    <m/>
    <s v="Primera emulacion de adversario BHD_Politicas de passwords insegura"/>
    <s v="Pentraze"/>
    <s v="Infra_Passwords Default o Reutilizado"/>
  </r>
  <r>
    <x v="5"/>
    <s v="BHDIB"/>
    <x v="0"/>
    <x v="162"/>
    <m/>
    <x v="0"/>
    <m/>
    <m/>
    <m/>
    <s v="Nilson Moya"/>
    <m/>
    <m/>
    <s v="Cerrado"/>
    <s v="Pentraze"/>
    <s v="Corregido"/>
    <m/>
    <d v="2025-01-23T00:00:00"/>
    <n v="1"/>
    <m/>
    <s v="Vulnerabilidades sueltas"/>
    <m/>
    <m/>
  </r>
  <r>
    <x v="0"/>
    <s v="BHD"/>
    <x v="43"/>
    <x v="163"/>
    <s v="&gt;Cambiar las credenciales por defecto en todas las instancias de Unisphere for PowerMax._x000a_&gt;Implementar políticas de contraseñas robustas y autenticación multifactor para acceder a los sistemas de administración."/>
    <x v="1"/>
    <m/>
    <m/>
    <m/>
    <m/>
    <m/>
    <m/>
    <s v="Cerrado"/>
    <s v="Pentraze"/>
    <s v="Corregido"/>
    <m/>
    <m/>
    <n v="1"/>
    <m/>
    <s v="Primera emulacion de adversario BHD_Politicas de passwords insegura"/>
    <s v="Pentraze"/>
    <m/>
  </r>
  <r>
    <x v="7"/>
    <s v="BHDIB"/>
    <x v="44"/>
    <x v="164"/>
    <m/>
    <x v="0"/>
    <m/>
    <m/>
    <m/>
    <m/>
    <m/>
    <m/>
    <s v="Cerrado"/>
    <s v="Pentraze"/>
    <s v="Corregido"/>
    <m/>
    <m/>
    <n v="1"/>
    <m/>
    <s v="12.Pruebas de Penetración a Superficies de Ataque_x000a_Externas e Internas de Banco BHD Panamá"/>
    <s v="Pentraze"/>
    <m/>
  </r>
  <r>
    <x v="13"/>
    <m/>
    <x v="39"/>
    <x v="165"/>
    <m/>
    <x v="0"/>
    <m/>
    <m/>
    <m/>
    <m/>
    <m/>
    <m/>
    <s v="Cerrado"/>
    <m/>
    <s v="Corregido"/>
    <m/>
    <m/>
    <n v="1"/>
    <m/>
    <s v="BHD - Certificate Onboarding Certificados Financieros 2"/>
    <s v="F2TC"/>
    <m/>
  </r>
  <r>
    <x v="7"/>
    <s v="BHDIB"/>
    <x v="44"/>
    <x v="166"/>
    <m/>
    <x v="0"/>
    <m/>
    <m/>
    <m/>
    <m/>
    <m/>
    <m/>
    <s v="Cerrado"/>
    <s v="Pentraze"/>
    <s v="Corregido"/>
    <m/>
    <d v="2025-06-26T00:00:00"/>
    <n v="2"/>
    <m/>
    <s v="12.Pruebas de Penetración a Superficies de Ataque_x000a_Externas e Internas de Banco BHD Panamá"/>
    <s v="Pentraze"/>
    <m/>
  </r>
  <r>
    <x v="5"/>
    <m/>
    <x v="0"/>
    <x v="41"/>
    <m/>
    <x v="1"/>
    <m/>
    <m/>
    <m/>
    <s v="Ramon Guzman"/>
    <d v="2025-03-01T00:00:00"/>
    <m/>
    <s v="Cerrado"/>
    <s v="Pentraze"/>
    <s v="Corregido"/>
    <m/>
    <d v="2025-03-13T00:00:00"/>
    <n v="1"/>
    <m/>
    <s v="Vulnerabilidades sueltas"/>
    <m/>
    <m/>
  </r>
  <r>
    <x v="13"/>
    <m/>
    <x v="39"/>
    <x v="167"/>
    <m/>
    <x v="0"/>
    <m/>
    <m/>
    <m/>
    <m/>
    <m/>
    <m/>
    <s v="Cerrado"/>
    <m/>
    <s v="Corregido"/>
    <m/>
    <m/>
    <n v="1"/>
    <m/>
    <s v="BHD - Certificate Onboarding Certificados Financieros 2"/>
    <s v="F2TC"/>
    <m/>
  </r>
  <r>
    <x v="7"/>
    <s v="BHDIB"/>
    <x v="44"/>
    <x v="168"/>
    <m/>
    <x v="1"/>
    <m/>
    <m/>
    <m/>
    <m/>
    <m/>
    <m/>
    <s v="Pendiente"/>
    <s v="Pentraze"/>
    <s v="Vulnerable"/>
    <m/>
    <d v="2025-09-05T00:00:00"/>
    <n v="2"/>
    <m/>
    <s v="12.Pruebas de Penetración a Superficies de Ataque_x000a_Externas e Internas de Banco BHD Panamá"/>
    <s v="Pentraze"/>
    <m/>
  </r>
  <r>
    <x v="5"/>
    <m/>
    <x v="0"/>
    <x v="75"/>
    <m/>
    <x v="1"/>
    <m/>
    <m/>
    <m/>
    <m/>
    <m/>
    <m/>
    <s v="Pendiente"/>
    <s v="Pentraze"/>
    <s v="Vulnerable"/>
    <m/>
    <d v="2025-02-04T00:00:00"/>
    <n v="1"/>
    <m/>
    <s v="Vulnerabilidades sueltas"/>
    <m/>
    <m/>
  </r>
  <r>
    <x v="0"/>
    <s v="BHD"/>
    <x v="45"/>
    <x v="169"/>
    <s v="&gt;Cambiar las credenciales por defecto por contraseñas robustas que contengan caracteres especiales y sean difíciles de adivinar._x000a_&gt;Implementar políticas de contraseñas robustas y autenticación multifactor para acceder a los sistemas de administración."/>
    <x v="1"/>
    <m/>
    <m/>
    <m/>
    <m/>
    <m/>
    <m/>
    <s v="Cerrado"/>
    <s v="Pentraze"/>
    <s v="Corregido"/>
    <m/>
    <m/>
    <n v="1"/>
    <m/>
    <s v="Primera emulacion de adversario BHD_Politicas de passwords insegura"/>
    <s v="Pentraze"/>
    <s v="Infra_Passwords Default o Reutilizado"/>
  </r>
  <r>
    <x v="15"/>
    <m/>
    <x v="28"/>
    <x v="170"/>
    <m/>
    <x v="0"/>
    <m/>
    <s v="Riesgo de explotacion de vulnerabilidades conocidas"/>
    <m/>
    <m/>
    <m/>
    <m/>
    <s v="Cerrado"/>
    <m/>
    <s v="Corregido"/>
    <m/>
    <m/>
    <n v="1"/>
    <m/>
    <s v="BHD - Prueba de Penetración Web - Pagadores de Remesas"/>
    <s v="GBM"/>
    <s v="WEB"/>
  </r>
  <r>
    <x v="4"/>
    <s v="BHD"/>
    <x v="46"/>
    <x v="171"/>
    <m/>
    <x v="3"/>
    <m/>
    <s v="Ausencia de protección contra ataques cibernético"/>
    <m/>
    <m/>
    <m/>
    <m/>
    <s v="Pendiente"/>
    <m/>
    <s v="Vulnerable"/>
    <m/>
    <m/>
    <n v="0"/>
    <m/>
    <s v="BHD - Pentest Web IBE"/>
    <s v="GBM"/>
    <s v="IBE"/>
  </r>
  <r>
    <x v="7"/>
    <s v="BHDIB"/>
    <x v="44"/>
    <x v="172"/>
    <m/>
    <x v="0"/>
    <m/>
    <m/>
    <m/>
    <m/>
    <m/>
    <m/>
    <s v="Cerrado"/>
    <s v="Pentraze"/>
    <s v="Corregido"/>
    <m/>
    <m/>
    <n v="1"/>
    <m/>
    <s v="12.Pruebas de Penetración a Superficies de Ataque_x000a_Externas e Internas de Banco BHD Panamá"/>
    <s v="Pentraze"/>
    <m/>
  </r>
  <r>
    <x v="7"/>
    <s v="BHDIB"/>
    <x v="44"/>
    <x v="173"/>
    <m/>
    <x v="1"/>
    <m/>
    <m/>
    <m/>
    <m/>
    <m/>
    <m/>
    <s v="Pendiente"/>
    <s v="Pentraze"/>
    <s v="Vulnerable"/>
    <m/>
    <m/>
    <n v="2"/>
    <m/>
    <s v="12.Pruebas de Penetración a Superficies de Ataque_x000a_Externas e Internas de Banco BHD Panamá"/>
    <s v="Pentraze"/>
    <m/>
  </r>
  <r>
    <x v="7"/>
    <s v="BHDIB"/>
    <x v="44"/>
    <x v="174"/>
    <m/>
    <x v="2"/>
    <m/>
    <m/>
    <m/>
    <m/>
    <m/>
    <m/>
    <s v="Cerrado"/>
    <s v="Pentraze"/>
    <s v="Corregido"/>
    <m/>
    <m/>
    <n v="1"/>
    <m/>
    <s v="12.Pruebas de Penetración a Superficies de Ataque_x000a_Externas e Internas de Banco BHD Panamá"/>
    <s v="Pentraze"/>
    <m/>
  </r>
  <r>
    <x v="7"/>
    <s v="BHDIB"/>
    <x v="44"/>
    <x v="175"/>
    <m/>
    <x v="2"/>
    <m/>
    <m/>
    <m/>
    <m/>
    <m/>
    <m/>
    <s v="Cerrado"/>
    <s v="Pentraze"/>
    <s v="Corregido"/>
    <m/>
    <m/>
    <n v="1"/>
    <m/>
    <s v="12.Pruebas de Penetración a Superficies de Ataque_x000a_Externas e Internas de Banco BHD Panamá"/>
    <s v="Pentraze"/>
    <m/>
  </r>
  <r>
    <x v="7"/>
    <s v="BHDIB"/>
    <x v="44"/>
    <x v="59"/>
    <m/>
    <x v="2"/>
    <m/>
    <m/>
    <m/>
    <m/>
    <m/>
    <m/>
    <s v="Cerrado"/>
    <s v="Pentraze"/>
    <s v="Corregido"/>
    <m/>
    <m/>
    <n v="2"/>
    <m/>
    <s v="12.Pruebas de Penetración a Superficies de Ataque_x000a_Externas e Internas de Banco BHD Panamá"/>
    <s v="Pentraze"/>
    <m/>
  </r>
  <r>
    <x v="7"/>
    <s v="BHDIB"/>
    <x v="44"/>
    <x v="162"/>
    <m/>
    <x v="0"/>
    <m/>
    <m/>
    <m/>
    <m/>
    <m/>
    <m/>
    <s v="Cerrado"/>
    <s v="Pentraze"/>
    <s v="Corregido"/>
    <m/>
    <m/>
    <n v="1"/>
    <m/>
    <s v="12.Pruebas de Penetración a Superficies de Ataque_x000a_Externas e Internas de Banco BHD Panamá"/>
    <s v="Pentraze"/>
    <m/>
  </r>
  <r>
    <x v="7"/>
    <s v="BHDIB"/>
    <x v="44"/>
    <x v="38"/>
    <m/>
    <x v="0"/>
    <m/>
    <m/>
    <m/>
    <m/>
    <m/>
    <m/>
    <s v="Cerrado"/>
    <s v="Pentraze"/>
    <s v="Corregido"/>
    <m/>
    <m/>
    <n v="1"/>
    <m/>
    <s v="12.Pruebas de Penetración a Superficies de Ataque_x000a_Externas e Internas de Banco BHD Panamá"/>
    <s v="Pentraze"/>
    <m/>
  </r>
  <r>
    <x v="4"/>
    <s v="BHD"/>
    <x v="46"/>
    <x v="176"/>
    <m/>
    <x v="3"/>
    <m/>
    <s v="Ausencia de protección contra ataques cibernético"/>
    <m/>
    <m/>
    <m/>
    <m/>
    <s v="Pendiente"/>
    <m/>
    <s v="Vulnerable"/>
    <m/>
    <m/>
    <n v="0"/>
    <m/>
    <s v="BHD - Pentest Web IBE"/>
    <s v="GBM"/>
    <s v="IBE"/>
  </r>
  <r>
    <x v="4"/>
    <s v="BHD"/>
    <x v="46"/>
    <x v="177"/>
    <m/>
    <x v="0"/>
    <m/>
    <s v="Falta de integridad de la informacion"/>
    <m/>
    <m/>
    <m/>
    <m/>
    <s v="Pendiente"/>
    <m/>
    <s v="Vulnerable"/>
    <m/>
    <m/>
    <n v="0"/>
    <m/>
    <s v="BHD - Pentest Web IBE"/>
    <s v="GBM"/>
    <s v="IBE"/>
  </r>
  <r>
    <x v="17"/>
    <s v="Puesto de bolsa"/>
    <x v="47"/>
    <x v="178"/>
    <m/>
    <x v="2"/>
    <m/>
    <m/>
    <m/>
    <s v="Ramon Guzman"/>
    <d v="2025-10-22T00:00:00"/>
    <s v="Validar y filtrar la entrada de datos antes de ejecutar hacia la BD y en los formularios"/>
    <s v="Pendiente"/>
    <s v="Pentraze"/>
    <s v="Vulnerable"/>
    <m/>
    <m/>
    <n v="0"/>
    <s v="VULN_EA_PB_"/>
    <s v="13.Emulación de Adversarios a Puesto de Bolsa BHD"/>
    <s v="Pentraze"/>
    <m/>
  </r>
  <r>
    <x v="17"/>
    <s v="Puesto de bolsa"/>
    <x v="47"/>
    <x v="179"/>
    <m/>
    <x v="2"/>
    <m/>
    <m/>
    <m/>
    <s v="Ramon Guzman"/>
    <d v="2025-09-22T00:00:00"/>
    <s v="Centralizar la ejecución de la aplicación a través de un único servidor de Remote desktop, eliminando el share y ejecución en PC cliente. (Como mitigante)_x000a__x000a_Implementar el cifrado del tráfico con TLS hacia la BD_x000a__x000a_Implementar el Key Vault para administrar las credenciales de la BD"/>
    <s v="Pendiente"/>
    <s v="Pentraze"/>
    <s v="Vulnerable"/>
    <m/>
    <m/>
    <n v="0"/>
    <s v="VULN_EA_PB_"/>
    <s v="13.Emulación de Adversarios a Puesto de Bolsa BHD"/>
    <s v="Pentraze"/>
    <m/>
  </r>
  <r>
    <x v="17"/>
    <s v="Puesto de bolsa"/>
    <x v="47"/>
    <x v="180"/>
    <m/>
    <x v="2"/>
    <m/>
    <m/>
    <m/>
    <s v="Ramon Guzman"/>
    <d v="2025-09-22T00:00:00"/>
    <s v="Centralizar la ejecución de la aplicación a través de un único servidor de Remote desktop, eliminando el share y ejecución en PC cliente.(Como Correctivo)_x000a__x000a_Restringir acceso full control a carpeta (Completado)"/>
    <s v="Pendiente"/>
    <s v="Pentraze"/>
    <s v="Vulnerable"/>
    <m/>
    <m/>
    <n v="0"/>
    <s v="VULN_EA_PB_"/>
    <s v="13.Emulación de Adversarios a Puesto de Bolsa BHD"/>
    <s v="Pentraze"/>
    <m/>
  </r>
  <r>
    <x v="17"/>
    <s v="Puesto de bolsa"/>
    <x v="47"/>
    <x v="181"/>
    <m/>
    <x v="2"/>
    <m/>
    <m/>
    <m/>
    <s v="Ramon Guzman"/>
    <d v="2025-09-22T00:00:00"/>
    <s v="Centralizar la ejecución de la aplicación a través de un único servidor de Remote desktop, eliminando el share y ejecución en PC cliente. (Como mitigante)_x000a__x000a_Migrar la aplicación a una versión Web (Estimación experta 6 meses) TBD"/>
    <s v="Pendiente"/>
    <s v="Pentraze"/>
    <s v="Vulnerable"/>
    <m/>
    <m/>
    <n v="0"/>
    <s v="VULN_EA_PB_"/>
    <s v="13.Emulación de Adversarios a Puesto de Bolsa BHD"/>
    <s v="Pentraze"/>
    <m/>
  </r>
  <r>
    <x v="17"/>
    <s v="Puesto de bolsa"/>
    <x v="47"/>
    <x v="182"/>
    <m/>
    <x v="1"/>
    <m/>
    <m/>
    <m/>
    <s v="Ramon Guzman"/>
    <d v="2025-10-22T00:00:00"/>
    <s v="Centralizar la ejecución de la aplicación a través de un único servidor de Remote desktop, eliminando el share y ejecución en PC cliente. (Como mitigante)_x000a__x000a_Implementar cifrado del ejecutable_x000a__x000a_Migrar la aplicación a una versión Web (Estimación experta 6 meses) TBD"/>
    <s v="Pendiente"/>
    <s v="Pentraze"/>
    <s v="Vulnerable"/>
    <m/>
    <m/>
    <n v="0"/>
    <s v="VULN_EA_PB_"/>
    <s v="13.Emulación de Adversarios a Puesto de Bolsa BHD"/>
    <s v="Pentraze"/>
    <m/>
  </r>
  <r>
    <x v="17"/>
    <s v="Puesto de bolsa"/>
    <x v="47"/>
    <x v="183"/>
    <m/>
    <x v="1"/>
    <m/>
    <m/>
    <m/>
    <s v="Ramon Guzman"/>
    <d v="2025-09-22T00:00:00"/>
    <s v="Implementar el cifrado del tráfico con TLS hacia la BD"/>
    <s v="Cerrado"/>
    <s v="Pentraze"/>
    <s v="Corregido"/>
    <m/>
    <d v="2025-11-07T00:00:00"/>
    <n v="1"/>
    <s v="VULN_EA_PB_"/>
    <s v="13.Emulación de Adversarios a Puesto de Bolsa BHD"/>
    <s v="Pentraze"/>
    <m/>
  </r>
  <r>
    <x v="17"/>
    <s v="Puesto de bolsa"/>
    <x v="48"/>
    <x v="184"/>
    <m/>
    <x v="1"/>
    <m/>
    <m/>
    <m/>
    <s v="Ramon Guzman"/>
    <d v="2025-09-22T00:00:00"/>
    <s v="Centralizar la ejecución de la aplicación a través de un único servidor de Remote desktop, eliminando el share y ejecución en PC cliente._x000a__x000a_El proveedor indicó queda corregido con la versión 47. _x000a_Están preparando la propuesta para ese upgrade.(TBD)"/>
    <s v="Pendiente"/>
    <s v="Pentraze"/>
    <s v="Vulnerable"/>
    <m/>
    <m/>
    <n v="0"/>
    <s v="VULN_EA_PB_"/>
    <s v="13.Emulación de Adversarios a Puesto de Bolsa BHD"/>
    <s v="Pentraze"/>
    <m/>
  </r>
  <r>
    <x v="17"/>
    <s v="Puesto de bolsa"/>
    <x v="48"/>
    <x v="185"/>
    <m/>
    <x v="1"/>
    <m/>
    <m/>
    <m/>
    <s v="Ramon Guzman"/>
    <d v="2025-08-27T00:00:00"/>
    <s v="Archivo de prueba de la infraestructura de Lumina, no implica riesgo de nuestro lado."/>
    <s v="Cerrado"/>
    <s v="Pentraze"/>
    <s v="Corregido"/>
    <m/>
    <d v="2025-11-07T00:00:00"/>
    <n v="1"/>
    <s v="VULN_EA_PB_"/>
    <s v="13.Emulación de Adversarios a Puesto de Bolsa BHD"/>
    <s v="Pentraze"/>
    <m/>
  </r>
  <r>
    <x v="17"/>
    <s v="Puesto de bolsa"/>
    <x v="48"/>
    <x v="186"/>
    <m/>
    <x v="1"/>
    <m/>
    <m/>
    <m/>
    <s v="Ramon Guzman"/>
    <d v="2025-09-22T00:00:00"/>
    <s v="Centralizar la ejecución de la aplicación a través de un único servidor de Remote desktop, eliminando el share y ejecución en PC cliente. (como mitigante)_x000a__x000a_El proveedor está evaluando, indicando que nos comparten los resultados en septiembre."/>
    <s v="Pendiente"/>
    <s v="Pentraze"/>
    <s v="Vulnerable"/>
    <m/>
    <m/>
    <n v="0"/>
    <s v="VULN_EA_PB_"/>
    <s v="13.Emulación de Adversarios a Puesto de Bolsa BHD"/>
    <s v="Pentraze"/>
    <m/>
  </r>
  <r>
    <x v="17"/>
    <s v="Puesto de bolsa"/>
    <x v="47"/>
    <x v="187"/>
    <m/>
    <x v="1"/>
    <m/>
    <m/>
    <m/>
    <s v="Ramon Guzman"/>
    <d v="2025-08-26T00:00:00"/>
    <s v="Equipos de desarrollo, los accesos fueros restringidos y/o eliminados. (Completado)"/>
    <s v="Pendiente"/>
    <s v="Pentraze"/>
    <s v="Vulnerable"/>
    <m/>
    <d v="2025-11-07T00:00:00"/>
    <n v="1"/>
    <s v="VULN_EA_PB_"/>
    <s v="13.Emulación de Adversarios a Puesto de Bolsa BHD"/>
    <s v="Pentraze"/>
    <m/>
  </r>
  <r>
    <x v="17"/>
    <s v="Puesto de bolsa"/>
    <x v="49"/>
    <x v="188"/>
    <m/>
    <x v="0"/>
    <m/>
    <m/>
    <m/>
    <s v="Ramon Guzman"/>
    <d v="2025-10-22T00:00:00"/>
    <s v="Implementar un control de acceso de ejecución por origen. (ACL)"/>
    <s v="Pendiente"/>
    <s v="Pentraze"/>
    <s v="Vulnerable"/>
    <m/>
    <m/>
    <n v="0"/>
    <s v="VULN_EA_PB_"/>
    <s v="13.Emulación de Adversarios a Puesto de Bolsa BHD"/>
    <s v="Pentraze"/>
    <m/>
  </r>
  <r>
    <x v="17"/>
    <s v="Puesto de bolsa"/>
    <x v="48"/>
    <x v="189"/>
    <m/>
    <x v="2"/>
    <m/>
    <m/>
    <m/>
    <s v="Ramon Guzman"/>
    <d v="2025-09-22T00:00:00"/>
    <s v="Centralizar la ejecución de la aplicación a través de un único servidor de Remote desktop, eliminando el share y ejecución en PC cliente._x000a__x000a_El proveedor está evaluando y dimensionado (TBD)"/>
    <s v="Pendiente"/>
    <s v="Pentraze"/>
    <s v="Vulnerable"/>
    <m/>
    <m/>
    <n v="0"/>
    <s v="VULN_EA_PB_"/>
    <s v="13.Emulación de Adversarios a Puesto de Bolsa BHD"/>
    <s v="Pentraze"/>
    <m/>
  </r>
  <r>
    <x v="0"/>
    <s v="BHD"/>
    <x v="32"/>
    <x v="190"/>
    <s v="&gt;Remover dicha funcionalidad, es una muy mala práctica de seguridad el implementar alguna funcionalidad en la que se interactúe directamente con la base de datos sin ningún mecanismo de autenticación ni ningún tipo de filtro, en caso de esto no ser factible al menos implementar control de acceso para esta funcionalidad, asegurarse que solo usuarios autenticados y con los roles apropiados puedan acceder a estas API para realizar consultas de SQL."/>
    <x v="2"/>
    <m/>
    <m/>
    <m/>
    <s v="Yeudis Guzman"/>
    <d v="2024-11-30T00:00:00"/>
    <m/>
    <s v="Cerrado"/>
    <s v="Pentraze"/>
    <s v="Corregido"/>
    <m/>
    <d v="2025-03-12T00:00:00"/>
    <n v="4"/>
    <m/>
    <s v="Primera emulacion de adversario BHD_DevOps"/>
    <s v="Pentraze"/>
    <s v="Infra_DevOps"/>
  </r>
  <r>
    <x v="0"/>
    <s v="BHD"/>
    <x v="0"/>
    <x v="191"/>
    <m/>
    <x v="0"/>
    <m/>
    <m/>
    <m/>
    <m/>
    <m/>
    <m/>
    <s v="Cerrado"/>
    <s v="Pentraze"/>
    <s v="Corregido"/>
    <m/>
    <m/>
    <n v="2"/>
    <m/>
    <s v="Primera emulacion de adversario BHD"/>
    <s v="Pentraze"/>
    <m/>
  </r>
  <r>
    <x v="5"/>
    <s v="BHD"/>
    <x v="50"/>
    <x v="192"/>
    <m/>
    <x v="1"/>
    <m/>
    <m/>
    <m/>
    <m/>
    <m/>
    <m/>
    <s v="Pendiente"/>
    <m/>
    <s v="Vulnerable"/>
    <m/>
    <m/>
    <n v="0"/>
    <m/>
    <s v="Vulnerabilidades sueltas"/>
    <m/>
    <m/>
  </r>
  <r>
    <x v="5"/>
    <s v="BHD"/>
    <x v="51"/>
    <x v="193"/>
    <m/>
    <x v="1"/>
    <m/>
    <m/>
    <m/>
    <m/>
    <m/>
    <m/>
    <s v="Pendiente"/>
    <m/>
    <s v="Vulnerable"/>
    <m/>
    <m/>
    <n v="0"/>
    <m/>
    <s v="Vulnerabilidades sueltas"/>
    <m/>
    <m/>
  </r>
  <r>
    <x v="10"/>
    <m/>
    <x v="22"/>
    <x v="194"/>
    <m/>
    <x v="1"/>
    <m/>
    <m/>
    <m/>
    <m/>
    <m/>
    <m/>
    <s v="Cerrado"/>
    <s v="Pentraze"/>
    <s v="Corregido"/>
    <m/>
    <d v="2024-10-22T00:00:00"/>
    <n v="1"/>
    <s v="VULN_IP_TPC_5"/>
    <s v="9.BHD - Informe Penetration Testing Preaprobación Comercial"/>
    <s v="Pentraze"/>
    <m/>
  </r>
  <r>
    <x v="18"/>
    <s v="BHD"/>
    <x v="11"/>
    <x v="195"/>
    <s v="&gt;Implementar un mecanismo de control de ejecución más robusto que SRP, como AppLocker o Windows Defender Application Control (WDAC), permitiendo únicamente binarios firmados y aplicaciones expresamente autorizadas._x000a_&gt;Eliminar reglas basadas en rutas amplias como C:\Windows y sustituirlas por reglas basadas en firmas digitales o hash, integradas con un proceso formal de gestión de cambios._x000a_&gt;Monitorear y alertar actividades de ejecución no autorizada como indicador temprano de intentos de evasión o compromiso."/>
    <x v="1"/>
    <m/>
    <s v="Alteración de archivos operativos, la manipulación de transacciones o la afectación directa de la integridad del entorno SWIFT"/>
    <m/>
    <m/>
    <n v="2026"/>
    <m/>
    <s v="En Proceso"/>
    <s v="Pentraze"/>
    <s v="Vulnerable"/>
    <s v="Continua vulnerable_x000a_Nota: Hay muchas formas de acceder el registry sin usar regedit.exe. Se permite ejecutar binarios no firmados."/>
    <d v="2026-02-05T00:00:00"/>
    <n v="1"/>
    <s v="VULN_PMS_1"/>
    <s v="Prueba de Penetración del Marco de Seguridad de Clientes SWIFT para Banco BHD"/>
    <s v="Pentraze"/>
    <s v="SERTERPRD05_x000a_SERTERPRD06"/>
  </r>
  <r>
    <x v="18"/>
    <s v="BHD"/>
    <x v="11"/>
    <x v="196"/>
    <s v="&gt;Restringir el acceso a servicios remotos como WinRM y SMB exclusivamente a equipos, cuentas y redes operativas autorizadas, conforme a un modelo de segmentación estricta._x000a_&gt;Reforzar la aplicación obligatoria de MFA para cualquier tipo de acceso remoto, incluyendo ejecución remota mediante canales administrativos._x000a_&gt;Implementar reglas de firewall host-based para minimizar la superficie de ataque de la estación segura y bloquear conexiones entrantes no requeridas._x000a_&gt;Supervisar activamente intentos de acceso remoto, transferencia de archivos y creación de servicios como indicadores de posible actividad maliciosa."/>
    <x v="0"/>
    <m/>
    <s v="acceso no autorizado y compromete la seguridad esperada de las estaciones seguras de SWIFT"/>
    <m/>
    <m/>
    <n v="2026"/>
    <m/>
    <s v="Cerrado"/>
    <s v="Pentraze"/>
    <s v="Corregido"/>
    <m/>
    <d v="2026-01-09T00:00:00"/>
    <n v="1"/>
    <s v="VULN_PMS_2"/>
    <s v="Prueba de Penetración del Marco de Seguridad de Clientes SWIFT para Banco BHD"/>
    <s v="Pentraze"/>
    <s v="SERTERPRD05_x000a_SERTERPRD06"/>
  </r>
  <r>
    <x v="18"/>
    <s v="BHD"/>
    <x v="11"/>
    <x v="197"/>
    <s v="&gt;Cambiar el valor de KEYSTORE_PASSWORD por una contraseña robusta, siguiendo buenas prácticas (mínimo 12–16 caracteres, mezcla de mayúsculas, minúsculas, números y símbolos), generar un nuevo keystore y migrar los certificados/claves necesarios."/>
    <x v="0"/>
    <m/>
    <m/>
    <m/>
    <s v="Anyel Segura"/>
    <n v="2026"/>
    <s v="Confirmar con el proveedor si este valor es utilizado o si es un placeholder"/>
    <s v="Cerrado"/>
    <s v="Pentraze"/>
    <s v="Desestimado"/>
    <s v="Cerrado: Debido a que esta entrada  esta bajo un licenciamiento que Banco no posee e igualmente &quot;Password&quot; es placeholder"/>
    <m/>
    <n v="0"/>
    <s v="VULN_PMS_3"/>
    <s v="Prueba de Penetración del Marco de Seguridad de Clientes SWIFT para Banco BHD"/>
    <s v="Pentraze"/>
    <s v="SERTERPRD05_x000a_SERTERPRD06"/>
  </r>
  <r>
    <x v="18"/>
    <s v="BHD"/>
    <x v="11"/>
    <x v="198"/>
    <s v="&gt;Implementar segmentación estricta: Limitar el tráfico de salida exclusivamente a los sistemas SWIFT que requieren para su operación._x000a_&gt;Configurar ACLs / Firewall Rules: Definir reglas explícitas que bloqueen cualquier conexión hacia otros dispositivos de la LAN no relacionados con el entorno SWIFT."/>
    <x v="0"/>
    <m/>
    <m/>
    <m/>
    <m/>
    <n v="2026"/>
    <m/>
    <s v="Cerrado"/>
    <s v="Pentraze"/>
    <s v="Corregido"/>
    <m/>
    <d v="2026-01-09T00:00:00"/>
    <n v="1"/>
    <s v="VULN_PMS_4"/>
    <s v="Prueba de Penetración del Marco de Seguridad de Clientes SWIFT para Banco BHD"/>
    <s v="Pentraze"/>
    <s v="SERTERPRD05_x000a_SERTERPRD06"/>
  </r>
  <r>
    <x v="18"/>
    <s v="BHD"/>
    <x v="11"/>
    <x v="199"/>
    <s v="&gt;Configurar la protección LSA en las estaciones seguras de Swift"/>
    <x v="0"/>
    <m/>
    <m/>
    <m/>
    <m/>
    <n v="2026"/>
    <m/>
    <s v="En Proceso"/>
    <s v="Pentraze"/>
    <s v="Vulnerable"/>
    <s v="Continua Vulnerable_x000a_Nota: en los activos afectados, no existe el valor RunAsPPL en la llave de registroHKLM\SYSTEM\CurrentControlSet\Control\Lsa "/>
    <d v="2026-02-05T00:00:00"/>
    <n v="1"/>
    <s v="VULN_PMS_5"/>
    <s v="Prueba de Penetración del Marco de Seguridad de Clientes SWIFT para Banco BHD"/>
    <s v="Pentraze"/>
    <s v="SERTERPRD05_x000a_SERTERPRD06"/>
  </r>
  <r>
    <x v="19"/>
    <s v="BHD"/>
    <x v="52"/>
    <x v="200"/>
    <s v="&gt;Eliminar la emisión de tokens JWT en respuestas basadas únicamente en identificadores estáticos como el número de cédula._x000a_&gt;Garantizar que los tokens tengan un contexto y alcance limitado a la función que autorizan."/>
    <x v="1"/>
    <m/>
    <m/>
    <m/>
    <m/>
    <m/>
    <m/>
    <s v="Cerrado"/>
    <s v="Pentraze"/>
    <s v="Desestimado"/>
    <s v="Se desestimo este hallazgo con evidencias de utilizacion del token que genera VEO en otros canales."/>
    <d v="2026-01-02T00:00:00"/>
    <n v="0"/>
    <m/>
    <s v="Prueba de Penetración a Aplicación Web VEO para Validación de Ofertas Pre-Aprobada"/>
    <s v="Pentraze"/>
    <m/>
  </r>
  <r>
    <x v="16"/>
    <s v="BHD"/>
    <x v="41"/>
    <x v="201"/>
    <m/>
    <x v="0"/>
    <m/>
    <m/>
    <m/>
    <m/>
    <m/>
    <m/>
    <s v="Cerrado"/>
    <s v="Pentraze"/>
    <s v="Corregido"/>
    <m/>
    <d v="2025-06-17T00:00:00"/>
    <n v="1"/>
    <m/>
    <s v="Prueba de Penetración a API de Generación y Consulta de Código QR"/>
    <s v="Pentraze"/>
    <m/>
  </r>
  <r>
    <x v="19"/>
    <s v="BHD"/>
    <x v="52"/>
    <x v="202"/>
    <s v="&gt;Configuración específica de origen: Modificar la configuración de CORS para que Access-Control-Allow-Origin no sea un comodín (*) y en su lugar se especifiquen dominios de confianza. Esto asegura que solo los orígenes legítimos puedan realizar solicitudes autenticadas._x000a_&gt;Deshabilitar credenciales para orígenes múltiples: Revisar si el uso de Access-Control-Allow-Credentials: True es necesario. Si es posible, deshabilitar esta opción para prevenir que credenciales sean enviadas junto con solicitudes de orígenes cruzados."/>
    <x v="0"/>
    <m/>
    <m/>
    <m/>
    <m/>
    <m/>
    <m/>
    <s v="Cerrado"/>
    <s v="Pentraze"/>
    <s v="Corregido"/>
    <m/>
    <d v="2026-01-07T00:00:00"/>
    <n v="1"/>
    <m/>
    <s v="Prueba de Penetración a Aplicación Web VEO para Validación de Ofertas Pre-Aprobada"/>
    <s v="Pentraze"/>
    <m/>
  </r>
  <r>
    <x v="20"/>
    <s v="BHD"/>
    <x v="53"/>
    <x v="203"/>
    <s v="&gt;Implementar un modelo robusto de autenticación y autorización independiente del cliente._x000a_&gt;Aplicar controles de acceso y separación de privilegios a nivel de servidor y base de datos._x000a_&gt;Evitar que la lógica de validación y control de operaciones resida exclusivamente en el cliente."/>
    <x v="2"/>
    <m/>
    <m/>
    <m/>
    <m/>
    <m/>
    <m/>
    <s v="Pendiente"/>
    <m/>
    <s v="Vulnerable"/>
    <m/>
    <m/>
    <n v="0"/>
    <s v="VULN_PA_ARPEG_1"/>
    <s v="Pruebas de Penetración a Aplicaciones de Remesas"/>
    <s v="Pentraze"/>
    <m/>
  </r>
  <r>
    <x v="20"/>
    <s v="BHD"/>
    <x v="53"/>
    <x v="204"/>
    <s v="&gt;Eliminar el almacenamiento de credenciales reutilizables en el Registro de Windows._x000a_&gt;Implementar mecanismos seguros de gestión de secretos, como Windows DPAPI, Credential Manager o soluciones de vault dedicadas._x000a_&gt;Minimizar la exposición de credenciales en memoria y evitar su desencriptación persistente en runtime._x000a_&gt;Utilizar autenticación basada en roles, tokens o certificados cuando sea posible."/>
    <x v="2"/>
    <m/>
    <m/>
    <m/>
    <m/>
    <m/>
    <m/>
    <s v="Pendiente"/>
    <m/>
    <s v="Vulnerable"/>
    <m/>
    <m/>
    <n v="0"/>
    <s v="VULN_PA_ARPEG_2"/>
    <s v="Pruebas de Penetración a Aplicaciones de Remesas"/>
    <s v="Pentraze"/>
    <m/>
  </r>
  <r>
    <x v="20"/>
    <s v="BHD"/>
    <x v="53"/>
    <x v="205"/>
    <s v="&gt;Implementar mecanismos de autenticación robustos antes de permitir cualquier operación crítica._x000a_&gt;Aplicar controles de autorización basados en roles para limitar las acciones según el perfil del usuario._x000a_&gt;Registrar y monitorear actividades sensibles para detectar comportamientos anómalos._x000a_&gt;Realizar una reevaluación de seguridad tras la implementación de los controles."/>
    <x v="1"/>
    <m/>
    <m/>
    <m/>
    <m/>
    <m/>
    <m/>
    <s v="Pendiente"/>
    <m/>
    <s v="Vulnerable"/>
    <m/>
    <m/>
    <n v="0"/>
    <s v="VULN_PA_ARPEG_3"/>
    <s v="Pruebas de Penetración a Aplicaciones de Remesas"/>
    <s v="Pentraze"/>
    <m/>
  </r>
  <r>
    <x v="20"/>
    <s v="BHD"/>
    <x v="53"/>
    <x v="206"/>
    <s v="&gt;Habilitar y forzar el uso de TLS/SSL para todas las conexiones entre la aplicación y la base de datos, siguiendo la documentación oficial del proveedor de la base de datos._x000a_&gt;Utilizar certificados digitales válidos y gestionarlos de forma segura, evitando certificados autofirmados en entornos productivos._x000a_&gt;Configurar el cliente de conexión para rechazar explícitamente conexiones no cifradas."/>
    <x v="1"/>
    <m/>
    <m/>
    <m/>
    <m/>
    <m/>
    <m/>
    <s v="Pendiente"/>
    <m/>
    <s v="Vulnerable"/>
    <m/>
    <m/>
    <n v="0"/>
    <s v="VULN_PA_ARPEG_4"/>
    <s v="Pruebas de Penetración a Aplicaciones de Remesas"/>
    <s v="Pentraze"/>
    <m/>
  </r>
  <r>
    <x v="20"/>
    <s v="BHD"/>
    <x v="53"/>
    <x v="207"/>
    <s v="&gt;Eliminar el uso de bloqueos persistentes basados en registros estáticos como mecanismo de exclusión._x000a_&gt;Implementar control de concurrencia mediante transacciones y mecanismos de bloqueo adecuados a nivel de base de datos._x000a_&gt;Gestionar la exclusión de instancias a nivel de aplicación mediante locks temporales o control de sesiones._x000a_&gt;Asegurar la liberación automática de bloqueos ante fallos o terminación inesperada del proceso._x000a_&gt;Incorporar validaciones de estado y recuperación automática para evitar dependencias de intervención manual."/>
    <x v="1"/>
    <m/>
    <m/>
    <m/>
    <m/>
    <m/>
    <m/>
    <s v="Pendiente"/>
    <m/>
    <s v="Vulnerable"/>
    <m/>
    <m/>
    <n v="0"/>
    <s v="VULN_PA_ARPEG_5"/>
    <s v="Pruebas de Penetración a Aplicaciones de Remesas"/>
    <s v="Pentraze"/>
    <m/>
  </r>
  <r>
    <x v="20"/>
    <s v="BHD"/>
    <x v="53"/>
    <x v="208"/>
    <s v="Implementar autenticación y autorización estricta para todos los comandos expuestos por el servicio TCP._x000a_&gt;Restringir el uso de comandos administrativos como REFRESH a contextos y usuarios explícitamente autorizados._x000a_&gt;Incorporar controles de rate limiting y validación de frecuencia de comandos._x000a_&gt;Registrar y monitorear intentos anómalos de uso del servicio para detección temprana de abusos._x000a_&gt;Evaluar el aislamiento del servicio en una red interna o mediante controles de acceso a nivel de firewall."/>
    <x v="1"/>
    <m/>
    <m/>
    <m/>
    <m/>
    <m/>
    <m/>
    <s v="Pendiente"/>
    <m/>
    <s v="Vulnerable"/>
    <m/>
    <m/>
    <n v="0"/>
    <s v="VULN_PA_ARPEG_6"/>
    <s v="Pruebas de Penetración a Aplicaciones de Remesas"/>
    <s v="Pentraze"/>
    <m/>
  </r>
  <r>
    <x v="20"/>
    <s v="BHD"/>
    <x v="53"/>
    <x v="209"/>
    <s v="&gt;Modificar la lógica de consulta (Query): Se debe reestructurar la consulta SQL realizada a la base de datos Oracle. La aplicación nunca debe solicitar ni recibir el campo que contiene la contraseña o su hash. En su lugar, se debe utilizar un procedimiento almacenado o una consulta que simplemente valide las credenciales y devuelva un valor booleano (Verdadero/Falso) o un token de sesión, sin exponer los datos almacenados._x000a_&gt;Actualizar el algoritmo de Hashing: Se debe migrar del algoritmo SHA-1 a estándares robustos y actuales diseñados específicamente para el almacenamiento de contraseñas, como Argon2, bcrypt o PBKDF2. Estos algoritmos son intencionalmente lentos, lo que dificulta enormemente los ataques de fuerza bruta._x000a_&gt;Implementar el uso de &quot;Salts&quot;: Asegurarse de que cada contraseña sea procesada con un &quot;salt&quot; (un valor aleatorio único añadido a la contraseña antes de generar el hash). Esto previene ataques basados en tablas precomputadas (Rainbow Tables)."/>
    <x v="0"/>
    <m/>
    <m/>
    <m/>
    <m/>
    <m/>
    <m/>
    <s v="Pendiente"/>
    <m/>
    <s v="Vulnerable"/>
    <m/>
    <m/>
    <n v="0"/>
    <s v="VULN_PA_ARPEG_7"/>
    <s v="Pruebas de Penetración a Aplicaciones de Remesas"/>
    <s v="Pentraze"/>
    <m/>
  </r>
  <r>
    <x v="20"/>
    <s v="BHD"/>
    <x v="53"/>
    <x v="210"/>
    <s v="&gt;Recompilar las aplicaciones habilitando mitigaciones de seguridad soportadas por la plataforma._x000a_&gt;Asegurar la activación de DEP y ASLR en todos los binarios._x000a_&gt;Implementar SafeSEH y CFG cuando la versión del compilador lo permita._x000a_&gt;Definir lineamientos de compilación segura como parte del ciclo de desarrollo._x000a_&gt;Validar la correcta aplicación de las mitigaciones mediante pruebas de seguridad posteriores."/>
    <x v="0"/>
    <m/>
    <m/>
    <m/>
    <m/>
    <m/>
    <m/>
    <s v="Pendiente"/>
    <m/>
    <s v="Vulnerable"/>
    <m/>
    <m/>
    <n v="0"/>
    <s v="VULN_PA_ARPEG_8"/>
    <s v="Pruebas de Penetración a Aplicaciones de Remesas"/>
    <s v="Pentraze"/>
    <m/>
  </r>
  <r>
    <x v="20"/>
    <s v="BHD"/>
    <x v="53"/>
    <x v="211"/>
    <s v="&gt;Eliminar la exposición de información sensible a través de comandos accesibles de forma no autenticada._x000a_&gt;Implementar autenticación y autorización estricta para comandos administrativos._x000a_&gt;Evitar el uso de algoritmos criptográficos obsoletos; migrar a funciones de hash robustas con salting y mecanismos de derivación de claves._x000a_&gt;Minimizar la información retornada por servicios de red, aplicando el principio de mínima exposición._x000a_&gt;Monitorear y registrar el uso de comandos administrativos para detección de actividades anómalas."/>
    <x v="0"/>
    <m/>
    <m/>
    <m/>
    <m/>
    <m/>
    <m/>
    <s v="Pendiente"/>
    <m/>
    <s v="Vulnerable"/>
    <m/>
    <m/>
    <n v="0"/>
    <s v="VULN_PA_ARPEG_9"/>
    <s v="Pruebas de Penetración a Aplicaciones de Remesas"/>
    <s v="Pentraze"/>
    <m/>
  </r>
  <r>
    <x v="20"/>
    <s v="BHD"/>
    <x v="53"/>
    <x v="212"/>
    <s v="&gt;Evitar el uso de configuraciones sensibles almacenadas en HKCU para decisiones de control de acceso._x000a_&gt;Validar el branch autorizado del lado del servidor o contra una fuente confiable centralizada._x000a_&gt;Implementar controles de autorización que vinculen explícitamente el branch accesible con la identidad y rol del usuario._x000a_&gt;Proteger las configuraciones críticas mediante mecanismos de integridad o almacenamiento seguro._x000a_&gt;Auditar y monitorear cambios en configuraciones que impacten el alcance funcional de las aplicaciones."/>
    <x v="0"/>
    <m/>
    <m/>
    <m/>
    <m/>
    <m/>
    <m/>
    <s v="Pendiente"/>
    <m/>
    <s v="Vulnerable"/>
    <m/>
    <m/>
    <n v="0"/>
    <s v="VULN_PA_ARPEG_10"/>
    <s v="Pruebas de Penetración a Aplicaciones de Remesas"/>
    <s v="Pentraze"/>
    <m/>
  </r>
  <r>
    <x v="20"/>
    <s v="BHD"/>
    <x v="53"/>
    <x v="213"/>
    <s v="&gt;Implementar validaciones de entrada que bloqueen patrones de rutas UNC (\\) antes de que sean procesadas por la aplicación, siguiendo buenas prácticas de input validation de OWASP._x000a_&gt;Ejecutar la aplicación bajo el principio de privilegios mínimos para reducir el impacto del uso indebido de credenciales del sistema operativo."/>
    <x v="0"/>
    <m/>
    <m/>
    <m/>
    <m/>
    <m/>
    <m/>
    <s v="Pendiente"/>
    <m/>
    <s v="Vulnerable"/>
    <m/>
    <m/>
    <n v="0"/>
    <s v="VULN_PA_ARPEG_11"/>
    <s v="Pruebas de Penetración a Aplicaciones de Remesas"/>
    <s v="Pentraze"/>
    <m/>
  </r>
  <r>
    <x v="5"/>
    <m/>
    <x v="0"/>
    <x v="214"/>
    <m/>
    <x v="4"/>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DBC327-D1FA-47E8-AE34-41D2F999A8D7}" name="PivotTable11" cacheId="13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9">
  <location ref="B11:C14"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Vulnerabilida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Consolidado7].[Nombre informe de pentest].&amp;[10.BHD -  Penetration Testing Boton de Pago]"/>
        <member name="[Consolidado7].[Nombre informe de pentest].&amp;[4.Emulación de Adversarios a Controles de Transferencias en Canales Electrónicos]"/>
        <member name="[Consolidado7].[Nombre informe de pentest].&amp;[5.Primera emulacion de adversario BHD_Portales Web]"/>
        <member name="[Consolidado7].[Nombre informe de pentest].&amp;[6.Primera emulacion de adversario BHD_Canales Electronicos]"/>
        <member name="[Consolidado7].[Nombre informe de pentest].&amp;[7.BHD - Informe Penetration Testing Mobile Banking Personal 1]"/>
        <member name="[Consolidado7].[Nombre informe de pentest].&amp;[BHD - Pentest Móvil MBE]"/>
        <member name="[Consolidado7].[Nombre informe de pentest].&amp;[BHD - Pentest Web IBE]"/>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37" name="[Consolidado7].[Fecha Hallazgo]">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traccion de vulnerabilidades_New.xlsx!Consolidado7">
        <x15:activeTabTopLevelEntity name="[Consolidado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43EFD3-CD37-4562-9867-1A2DCE7DC403}" name="PivotTable6" cacheId="13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B3:C8"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Vulnerabilidad" fld="1" subtotal="count" baseField="0" baseItem="0"/>
  </dataFields>
  <formats count="2">
    <format dxfId="263">
      <pivotArea dataOnly="0" labelOnly="1" fieldPosition="0">
        <references count="1">
          <reference field="0" count="0"/>
        </references>
      </pivotArea>
    </format>
    <format dxfId="262">
      <pivotArea collapsedLevelsAreSubtotals="1" fieldPosition="0">
        <references count="1">
          <reference field="0" count="0"/>
        </references>
      </pivotArea>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Consolidado7].[Nombre informe de pentest].&amp;[10.BHD -  Penetration Testing Boton de Pago]"/>
        <member name="[Consolidado7].[Nombre informe de pentest].&amp;[4.Emulación de Adversarios a Controles de Transferencias en Canales Electrónicos]"/>
        <member name="[Consolidado7].[Nombre informe de pentest].&amp;[5.Primera emulacion de adversario BHD_Portales Web]"/>
        <member name="[Consolidado7].[Nombre informe de pentest].&amp;[6.Primera emulacion de adversario BHD_Canales Electronicos]"/>
        <member name="[Consolidado7].[Nombre informe de pentest].&amp;[7.BHD - Informe Penetration Testing Mobile Banking Personal 1]"/>
        <member name="[Consolidado7].[Nombre informe de pentest].&amp;[BHD - Pentest Móvil MBE]"/>
        <member name="[Consolidado7].[Nombre informe de pentest].&amp;[BHD - Pentest Web IBE]"/>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45" name="[Consolidado7].[Fecha Hallazgo]">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traccion de vulnerabilidades_New.xlsx!Consolidado7">
        <x15:activeTabTopLevelEntity name="[Consolidado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3C8CA7-62B9-4606-951D-D32BC083723F}" name="PivotTable5" cacheId="133" applyNumberFormats="0" applyBorderFormats="0" applyFontFormats="0" applyPatternFormats="0" applyAlignmentFormats="0" applyWidthHeightFormats="1" dataCaption="Values" updatedVersion="8" minRefreshableVersion="5" useAutoFormatting="1" subtotalHiddenItems="1" colGrandTotals="0" itemPrintTitles="1" createdVersion="8" indent="0" outline="1" outlineData="1" multipleFieldFilters="0">
  <location ref="B20:C34" firstHeaderRow="1" firstDataRow="1" firstDataCol="1"/>
  <pivotFields count="5">
    <pivotField dataField="1" subtotalTop="0" showAll="0" defaultSubtotal="0"/>
    <pivotField axis="axisRow"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14">
    <i>
      <x/>
    </i>
    <i r="1">
      <x/>
    </i>
    <i>
      <x v="1"/>
    </i>
    <i r="1">
      <x v="1"/>
    </i>
    <i r="1">
      <x/>
    </i>
    <i>
      <x v="2"/>
    </i>
    <i r="1">
      <x v="1"/>
    </i>
    <i r="1">
      <x/>
    </i>
    <i>
      <x v="3"/>
    </i>
    <i r="1">
      <x v="1"/>
    </i>
    <i r="1">
      <x/>
    </i>
    <i>
      <x v="4"/>
    </i>
    <i r="1">
      <x v="1"/>
    </i>
    <i t="grand">
      <x/>
    </i>
  </rowItems>
  <colItems count="1">
    <i/>
  </colItems>
  <dataFields count="1">
    <dataField name="Count of Vulnerabilidad" fld="0"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Consolidado7].[Nombre informe de pentest].&amp;[10.BHD -  Penetration Testing Boton de Pago]"/>
        <member name="[Consolidado7].[Nombre informe de pentest].&amp;[4.Emulación de Adversarios a Controles de Transferencias en Canales Electrónicos]"/>
        <member name="[Consolidado7].[Nombre informe de pentest].&amp;[5.Primera emulacion de adversario BHD_Portales Web]"/>
        <member name="[Consolidado7].[Nombre informe de pentest].&amp;[6.Primera emulacion de adversario BHD_Canales Electronicos]"/>
        <member name="[Consolidado7].[Nombre informe de pentest].&amp;[7.BHD - Informe Penetration Testing Mobile Banking Personal 1]"/>
        <member name="[Consolidado7].[Nombre informe de pentest].&amp;[BHD - Pentest Móvil MBE]"/>
        <member name="[Consolidado7].[Nombre informe de pentest].&amp;[BHD - Pentest Web IBE]"/>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Between" evalOrder="-1" id="46" name="[Consolidado7].[Fecha Hallazgo]">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2">
    <rowHierarchyUsage hierarchyUsage="17"/>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traccion de vulnerabilidades_New.xlsx!Consolidado7">
        <x15:activeTabTopLevelEntity name="[Consolidado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BE3E19-3878-4589-9BA9-06E9FEEAA40D}" name="PivotTable10" cacheId="145" applyNumberFormats="0" applyBorderFormats="0" applyFontFormats="0" applyPatternFormats="0" applyAlignmentFormats="0" applyWidthHeightFormats="1" dataCaption="Values" tag="306cca7f-ac2b-47f7-ae56-8849de3fc6ec" updatedVersion="8" minRefreshableVersion="5" useAutoFormatting="1" subtotalHiddenItems="1" itemPrintTitles="1" createdVersion="8" indent="0" compact="0" compactData="0" multipleFieldFilters="0" chartFormat="4">
  <location ref="P2:T24" firstHeaderRow="1" firstDataRow="1" firstDataCol="4"/>
  <pivotFields count="6">
    <pivotField axis="axisRow" compact="0" allDrilled="1" outline="0"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xis="axisRow" compact="0" allDrilled="1" outline="0" subtotalTop="0" showAll="0" dataSourceSort="1" defaultSubtotal="0" defaultAttributeDrillState="1">
      <items count="18">
        <item s="1" x="0"/>
        <item s="1" x="1"/>
        <item s="1" x="2"/>
        <item s="1" x="3"/>
        <item s="1" x="4"/>
        <item s="1" x="5"/>
        <item s="1" x="6"/>
        <item x="7"/>
        <item x="8"/>
        <item x="9"/>
        <item x="10"/>
        <item x="11"/>
        <item x="12"/>
        <item x="13"/>
        <item x="14"/>
        <item x="15"/>
        <item x="16"/>
        <item x="17"/>
      </items>
    </pivotField>
    <pivotField axis="axisRow" compact="0" allDrilled="1" outline="0" subtotalTop="0" showAll="0" sortType="descending" defaultSubtotal="0" defaultAttributeDrillState="1">
      <items count="1">
        <item s="1" x="0"/>
      </items>
    </pivotField>
    <pivotField axis="axisRow" compact="0" allDrilled="1" outline="0" subtotalTop="0" showAll="0" sortType="descending" defaultSubtotal="0" defaultAttributeDrillState="1">
      <items count="2">
        <item s="1" x="0"/>
        <item s="1" x="1"/>
      </items>
    </pivotField>
    <pivotField dataField="1" compact="0" outline="0" subtotalTop="0" showAll="0" defaultSubtotal="0"/>
    <pivotField compact="0" allDrilled="1" outline="0" subtotalTop="0" showAll="0" dataSourceSort="1" defaultSubtotal="0" defaultAttributeDrillState="1"/>
  </pivotFields>
  <rowFields count="4">
    <field x="1"/>
    <field x="0"/>
    <field x="3"/>
    <field x="2"/>
  </rowFields>
  <rowItems count="22">
    <i>
      <x/>
      <x/>
      <x/>
      <x/>
    </i>
    <i r="1">
      <x v="1"/>
      <x v="1"/>
      <x/>
    </i>
    <i r="1">
      <x v="2"/>
      <x/>
      <x/>
    </i>
    <i r="1">
      <x v="3"/>
      <x/>
      <x/>
    </i>
    <i r="1">
      <x v="4"/>
      <x/>
      <x/>
    </i>
    <i r="1">
      <x v="5"/>
      <x v="1"/>
      <x/>
    </i>
    <i r="1">
      <x v="6"/>
      <x v="1"/>
      <x/>
    </i>
    <i r="1">
      <x v="7"/>
      <x v="1"/>
      <x/>
    </i>
    <i r="1">
      <x v="8"/>
      <x/>
      <x/>
    </i>
    <i r="1">
      <x v="9"/>
      <x v="1"/>
      <x/>
    </i>
    <i>
      <x v="1"/>
      <x v="10"/>
      <x v="1"/>
      <x/>
    </i>
    <i r="1">
      <x v="11"/>
      <x v="1"/>
      <x/>
    </i>
    <i r="1">
      <x v="12"/>
      <x v="1"/>
      <x/>
    </i>
    <i r="1">
      <x v="13"/>
      <x v="1"/>
      <x/>
    </i>
    <i r="1">
      <x v="14"/>
      <x v="1"/>
      <x/>
    </i>
    <i>
      <x v="2"/>
      <x v="15"/>
      <x v="1"/>
      <x/>
    </i>
    <i r="1">
      <x v="16"/>
      <x v="1"/>
      <x/>
    </i>
    <i>
      <x v="3"/>
      <x v="17"/>
      <x v="1"/>
      <x/>
    </i>
    <i r="1">
      <x v="18"/>
      <x v="1"/>
      <x/>
    </i>
    <i>
      <x v="4"/>
      <x v="19"/>
      <x/>
      <x/>
    </i>
    <i>
      <x v="5"/>
      <x v="20"/>
      <x/>
      <x/>
    </i>
    <i t="grand">
      <x/>
    </i>
  </rowItems>
  <colItems count="1">
    <i/>
  </colItems>
  <dataFields count="1">
    <dataField name="Count of Vulnerabilidad" fld="4" subtotal="count" baseField="0" baseItem="0"/>
  </dataFields>
  <formats count="15">
    <format dxfId="278">
      <pivotArea dataOnly="0" labelOnly="1" outline="0" fieldPosition="0">
        <references count="2">
          <reference field="0" count="12">
            <x v="21"/>
            <x v="22"/>
            <x v="23"/>
            <x v="24"/>
            <x v="25"/>
            <x v="26"/>
            <x v="27"/>
            <x v="28"/>
            <x v="29"/>
            <x v="39"/>
            <x v="40"/>
            <x v="41"/>
          </reference>
          <reference field="1" count="1" selected="0">
            <x v="7"/>
          </reference>
        </references>
      </pivotArea>
    </format>
    <format dxfId="277">
      <pivotArea dataOnly="0" labelOnly="1" outline="0" fieldPosition="0">
        <references count="2">
          <reference field="0" count="7">
            <x v="30"/>
            <x v="31"/>
            <x v="32"/>
            <x v="33"/>
            <x v="34"/>
            <x v="35"/>
            <x v="38"/>
          </reference>
          <reference field="1" count="1" selected="0">
            <x v="8"/>
          </reference>
        </references>
      </pivotArea>
    </format>
    <format dxfId="276">
      <pivotArea dataOnly="0" labelOnly="1" outline="0" fieldPosition="0">
        <references count="2">
          <reference field="0" count="5">
            <x v="42"/>
            <x v="43"/>
            <x v="44"/>
            <x v="45"/>
            <x v="46"/>
          </reference>
          <reference field="1" count="1" selected="0">
            <x v="15"/>
          </reference>
        </references>
      </pivotArea>
    </format>
    <format dxfId="275">
      <pivotArea dataOnly="0" labelOnly="1" outline="0" fieldPosition="0">
        <references count="2">
          <reference field="0" count="8">
            <x v="36"/>
            <x v="47"/>
            <x v="48"/>
            <x v="49"/>
            <x v="50"/>
            <x v="51"/>
            <x v="52"/>
            <x v="53"/>
          </reference>
          <reference field="1" count="1" selected="0">
            <x v="9"/>
          </reference>
        </references>
      </pivotArea>
    </format>
    <format dxfId="274">
      <pivotArea dataOnly="0" labelOnly="1" outline="0" fieldPosition="0">
        <references count="2">
          <reference field="0" count="1">
            <x v="54"/>
          </reference>
          <reference field="1" count="1" selected="0">
            <x v="16"/>
          </reference>
        </references>
      </pivotArea>
    </format>
    <format dxfId="273">
      <pivotArea dataOnly="0" labelOnly="1" outline="0" fieldPosition="0">
        <references count="2">
          <reference field="0" count="2">
            <x v="55"/>
            <x v="56"/>
          </reference>
          <reference field="1" count="1" selected="0">
            <x v="17"/>
          </reference>
        </references>
      </pivotArea>
    </format>
    <format dxfId="272">
      <pivotArea dataOnly="0" labelOnly="1" outline="0" fieldPosition="0">
        <references count="2">
          <reference field="0" count="5">
            <x v="37"/>
            <x v="57"/>
            <x v="58"/>
            <x v="59"/>
            <x v="60"/>
          </reference>
          <reference field="1" count="1" selected="0">
            <x v="10"/>
          </reference>
        </references>
      </pivotArea>
    </format>
    <format dxfId="271">
      <pivotArea outline="0" collapsedLevelsAreSubtotals="1" fieldPosition="0"/>
    </format>
    <format dxfId="270">
      <pivotArea field="1" type="button" dataOnly="0" labelOnly="1" outline="0" axis="axisRow" fieldPosition="0"/>
    </format>
    <format dxfId="269">
      <pivotArea field="0" type="button" dataOnly="0" labelOnly="1" outline="0" axis="axisRow" fieldPosition="1"/>
    </format>
    <format dxfId="268">
      <pivotArea field="3" type="button" dataOnly="0" labelOnly="1" outline="0" axis="axisRow" fieldPosition="2"/>
    </format>
    <format dxfId="267">
      <pivotArea field="2" type="button" dataOnly="0" labelOnly="1" outline="0" axis="axisRow" fieldPosition="3"/>
    </format>
    <format dxfId="266">
      <pivotArea dataOnly="0" labelOnly="1" outline="0" axis="axisValues" fieldPosition="0"/>
    </format>
    <format dxfId="265">
      <pivotArea dataOnly="0" labelOnly="1" outline="0" fieldPosition="0">
        <references count="1">
          <reference field="1" count="1">
            <x v="8"/>
          </reference>
        </references>
      </pivotArea>
    </format>
    <format dxfId="264">
      <pivotArea dataOnly="0" labelOnly="1" outline="0" fieldPosition="0">
        <references count="1">
          <reference field="1" count="14">
            <x v="0"/>
            <x v="1"/>
            <x v="2"/>
            <x v="3"/>
            <x v="4"/>
            <x v="5"/>
            <x v="7"/>
            <x v="8"/>
            <x v="9"/>
            <x v="10"/>
            <x v="11"/>
            <x v="12"/>
            <x v="13"/>
            <x v="14"/>
          </reference>
        </references>
      </pivotArea>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5" type="dateBetween" evalOrder="-1" id="44" name="[Consolidado7].[Fecha Hallazgo]">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rowHierarchiesUsage count="4">
    <rowHierarchyUsage hierarchyUsage="19"/>
    <rowHierarchyUsage hierarchyUsage="3"/>
    <rowHierarchyUsage hierarchyUsage="5"/>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traccion de vulnerabilidades_New.xlsx!Consolidado7">
        <x15:activeTabTopLevelEntity name="[Consolidado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5F4888-83AD-4B7F-9B2C-D8BF3DAEF92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73" firstHeaderRow="1" firstDataRow="1" firstDataCol="1"/>
  <pivotFields count="25">
    <pivotField axis="axisRow" showAll="0">
      <items count="22">
        <item x="14"/>
        <item x="12"/>
        <item x="15"/>
        <item x="4"/>
        <item x="13"/>
        <item x="8"/>
        <item x="6"/>
        <item x="10"/>
        <item x="0"/>
        <item x="7"/>
        <item x="11"/>
        <item x="2"/>
        <item x="3"/>
        <item x="9"/>
        <item x="16"/>
        <item x="17"/>
        <item x="1"/>
        <item x="18"/>
        <item x="19"/>
        <item x="20"/>
        <item x="5"/>
        <item t="default"/>
      </items>
    </pivotField>
    <pivotField showAll="0"/>
    <pivotField axis="axisRow" showAll="0">
      <items count="55">
        <item x="7"/>
        <item x="17"/>
        <item x="44"/>
        <item x="21"/>
        <item x="6"/>
        <item x="33"/>
        <item x="18"/>
        <item x="30"/>
        <item x="20"/>
        <item x="31"/>
        <item x="43"/>
        <item x="47"/>
        <item x="38"/>
        <item x="35"/>
        <item x="41"/>
        <item x="12"/>
        <item x="14"/>
        <item x="19"/>
        <item x="42"/>
        <item x="2"/>
        <item x="27"/>
        <item x="51"/>
        <item x="3"/>
        <item x="4"/>
        <item x="40"/>
        <item x="25"/>
        <item x="29"/>
        <item x="32"/>
        <item x="48"/>
        <item x="10"/>
        <item x="23"/>
        <item x="1"/>
        <item x="15"/>
        <item x="39"/>
        <item x="22"/>
        <item x="9"/>
        <item x="24"/>
        <item x="8"/>
        <item x="50"/>
        <item x="53"/>
        <item x="45"/>
        <item x="16"/>
        <item x="11"/>
        <item x="37"/>
        <item x="5"/>
        <item x="34"/>
        <item x="36"/>
        <item x="52"/>
        <item x="28"/>
        <item x="46"/>
        <item x="13"/>
        <item x="26"/>
        <item x="49"/>
        <item x="0"/>
        <item t="default"/>
      </items>
    </pivotField>
    <pivotField showAll="0">
      <items count="216">
        <item x="213"/>
        <item x="143"/>
        <item x="186"/>
        <item x="89"/>
        <item x="196"/>
        <item x="198"/>
        <item x="68"/>
        <item x="194"/>
        <item x="63"/>
        <item x="164"/>
        <item x="93"/>
        <item x="32"/>
        <item x="137"/>
        <item x="34"/>
        <item x="41"/>
        <item x="6"/>
        <item x="109"/>
        <item x="123"/>
        <item x="98"/>
        <item x="204"/>
        <item x="166"/>
        <item x="7"/>
        <item x="146"/>
        <item x="149"/>
        <item x="100"/>
        <item x="29"/>
        <item x="25"/>
        <item x="105"/>
        <item x="16"/>
        <item x="35"/>
        <item x="130"/>
        <item x="152"/>
        <item x="30"/>
        <item x="101"/>
        <item x="203"/>
        <item x="210"/>
        <item x="96"/>
        <item x="95"/>
        <item x="145"/>
        <item x="4"/>
        <item x="9"/>
        <item x="103"/>
        <item x="62"/>
        <item x="58"/>
        <item x="134"/>
        <item x="42"/>
        <item x="73"/>
        <item x="154"/>
        <item x="92"/>
        <item x="168"/>
        <item x="148"/>
        <item x="183"/>
        <item x="202"/>
        <item x="8"/>
        <item x="94"/>
        <item x="188"/>
        <item x="12"/>
        <item x="212"/>
        <item x="57"/>
        <item x="157"/>
        <item x="97"/>
        <item x="37"/>
        <item x="79"/>
        <item x="43"/>
        <item x="67"/>
        <item x="99"/>
        <item x="28"/>
        <item x="78"/>
        <item x="10"/>
        <item x="17"/>
        <item x="156"/>
        <item x="207"/>
        <item x="208"/>
        <item x="180"/>
        <item x="182"/>
        <item x="181"/>
        <item x="19"/>
        <item x="111"/>
        <item x="211"/>
        <item x="21"/>
        <item x="33"/>
        <item x="102"/>
        <item x="127"/>
        <item x="104"/>
        <item x="44"/>
        <item x="1"/>
        <item x="106"/>
        <item x="72"/>
        <item x="48"/>
        <item x="36"/>
        <item x="31"/>
        <item x="40"/>
        <item x="110"/>
        <item x="76"/>
        <item x="200"/>
        <item x="53"/>
        <item x="74"/>
        <item x="45"/>
        <item x="114"/>
        <item x="113"/>
        <item x="140"/>
        <item x="115"/>
        <item x="116"/>
        <item x="117"/>
        <item x="23"/>
        <item x="24"/>
        <item x="13"/>
        <item x="46"/>
        <item x="18"/>
        <item x="128"/>
        <item x="47"/>
        <item x="83"/>
        <item x="20"/>
        <item x="2"/>
        <item x="195"/>
        <item x="75"/>
        <item x="112"/>
        <item x="66"/>
        <item x="108"/>
        <item x="172"/>
        <item x="49"/>
        <item x="187"/>
        <item x="51"/>
        <item x="122"/>
        <item x="185"/>
        <item x="205"/>
        <item x="209"/>
        <item x="206"/>
        <item x="189"/>
        <item x="11"/>
        <item x="38"/>
        <item x="129"/>
        <item x="22"/>
        <item x="69"/>
        <item x="135"/>
        <item x="131"/>
        <item x="39"/>
        <item x="5"/>
        <item x="61"/>
        <item x="50"/>
        <item x="136"/>
        <item x="14"/>
        <item x="184"/>
        <item x="144"/>
        <item x="77"/>
        <item x="159"/>
        <item x="138"/>
        <item x="54"/>
        <item x="65"/>
        <item x="64"/>
        <item x="199"/>
        <item x="161"/>
        <item x="81"/>
        <item x="173"/>
        <item x="139"/>
        <item x="124"/>
        <item x="132"/>
        <item x="133"/>
        <item x="82"/>
        <item x="55"/>
        <item x="56"/>
        <item x="178"/>
        <item x="121"/>
        <item x="179"/>
        <item x="142"/>
        <item x="26"/>
        <item x="84"/>
        <item x="163"/>
        <item x="171"/>
        <item x="176"/>
        <item x="174"/>
        <item x="52"/>
        <item x="191"/>
        <item x="118"/>
        <item x="3"/>
        <item x="0"/>
        <item x="147"/>
        <item x="27"/>
        <item x="175"/>
        <item x="119"/>
        <item x="59"/>
        <item x="193"/>
        <item x="126"/>
        <item x="190"/>
        <item x="107"/>
        <item x="80"/>
        <item x="86"/>
        <item x="88"/>
        <item x="90"/>
        <item x="91"/>
        <item x="160"/>
        <item x="15"/>
        <item x="162"/>
        <item x="192"/>
        <item x="150"/>
        <item x="71"/>
        <item x="120"/>
        <item x="201"/>
        <item x="165"/>
        <item x="151"/>
        <item x="70"/>
        <item x="167"/>
        <item x="60"/>
        <item x="153"/>
        <item x="155"/>
        <item x="169"/>
        <item x="125"/>
        <item x="141"/>
        <item x="85"/>
        <item x="177"/>
        <item x="87"/>
        <item x="158"/>
        <item x="197"/>
        <item x="170"/>
        <item x="214"/>
        <item t="default"/>
      </items>
    </pivotField>
    <pivotField showAll="0"/>
    <pivotField axis="axisRow" showAll="0">
      <items count="6">
        <item x="1"/>
        <item x="3"/>
        <item x="2"/>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x="3"/>
        <item sd="0" x="4"/>
        <item sd="0" x="5"/>
        <item t="default"/>
      </items>
    </pivotField>
  </pivotFields>
  <rowFields count="4">
    <field x="24"/>
    <field x="2"/>
    <field x="0"/>
    <field x="5"/>
  </rowFields>
  <rowItems count="70">
    <i>
      <x/>
    </i>
    <i>
      <x v="1"/>
    </i>
    <i>
      <x v="2"/>
    </i>
    <i>
      <x v="3"/>
    </i>
    <i r="1">
      <x/>
    </i>
    <i r="2">
      <x v="16"/>
    </i>
    <i r="3">
      <x/>
    </i>
    <i r="3">
      <x v="3"/>
    </i>
    <i r="1">
      <x v="3"/>
    </i>
    <i r="2">
      <x v="13"/>
    </i>
    <i r="3">
      <x/>
    </i>
    <i r="3">
      <x v="3"/>
    </i>
    <i r="1">
      <x v="11"/>
    </i>
    <i r="2">
      <x v="15"/>
    </i>
    <i r="3">
      <x/>
    </i>
    <i r="3">
      <x v="2"/>
    </i>
    <i r="1">
      <x v="14"/>
    </i>
    <i r="2">
      <x v="14"/>
    </i>
    <i r="3">
      <x v="3"/>
    </i>
    <i r="1">
      <x v="15"/>
    </i>
    <i r="2">
      <x v="11"/>
    </i>
    <i r="3">
      <x v="3"/>
    </i>
    <i r="1">
      <x v="16"/>
    </i>
    <i r="2">
      <x v="12"/>
    </i>
    <i r="3">
      <x/>
    </i>
    <i r="3">
      <x v="2"/>
    </i>
    <i r="3">
      <x v="3"/>
    </i>
    <i r="1">
      <x v="19"/>
    </i>
    <i r="2">
      <x v="12"/>
    </i>
    <i r="3">
      <x/>
    </i>
    <i r="1">
      <x v="20"/>
    </i>
    <i r="2">
      <x v="12"/>
    </i>
    <i r="3">
      <x/>
    </i>
    <i r="1">
      <x v="28"/>
    </i>
    <i r="2">
      <x v="15"/>
    </i>
    <i r="3">
      <x/>
    </i>
    <i r="3">
      <x v="2"/>
    </i>
    <i r="1">
      <x v="29"/>
    </i>
    <i r="2">
      <x v="12"/>
    </i>
    <i r="3">
      <x v="2"/>
    </i>
    <i r="1">
      <x v="30"/>
    </i>
    <i r="2">
      <x v="12"/>
    </i>
    <i r="3">
      <x v="3"/>
    </i>
    <i r="1">
      <x v="35"/>
    </i>
    <i r="2">
      <x v="11"/>
    </i>
    <i r="3">
      <x v="3"/>
    </i>
    <i r="1">
      <x v="37"/>
    </i>
    <i r="2">
      <x v="11"/>
    </i>
    <i r="3">
      <x v="2"/>
    </i>
    <i r="1">
      <x v="42"/>
    </i>
    <i r="2">
      <x v="11"/>
    </i>
    <i r="3">
      <x v="2"/>
    </i>
    <i r="2">
      <x v="17"/>
    </i>
    <i r="3">
      <x/>
    </i>
    <i r="3">
      <x v="3"/>
    </i>
    <i r="1">
      <x v="43"/>
    </i>
    <i r="2">
      <x v="12"/>
    </i>
    <i r="3">
      <x/>
    </i>
    <i r="1">
      <x v="47"/>
    </i>
    <i r="2">
      <x v="18"/>
    </i>
    <i r="3">
      <x/>
    </i>
    <i r="3">
      <x v="3"/>
    </i>
    <i r="1">
      <x v="50"/>
    </i>
    <i r="2">
      <x v="11"/>
    </i>
    <i r="3">
      <x v="3"/>
    </i>
    <i r="1">
      <x v="52"/>
    </i>
    <i r="2">
      <x v="15"/>
    </i>
    <i r="3">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mbre_informe_de_pentest" xr10:uid="{8697019A-5AEE-4838-831B-2A3E6CB5F4DD}" sourceName="[Consolidado7].[Nombre informe de pentest]">
  <pivotTables>
    <pivotTable tabId="32" name="PivotTable10"/>
    <pivotTable tabId="32" name="PivotTable11"/>
    <pivotTable tabId="32" name="PivotTable5"/>
    <pivotTable tabId="32" name="PivotTable6"/>
  </pivotTables>
  <data>
    <olap pivotCacheId="1497821456">
      <levels count="2">
        <level uniqueName="[Consolidado7].[Nombre informe de pentest].[(All)]" sourceCaption="(All)" count="0"/>
        <level uniqueName="[Consolidado7].[Nombre informe de pentest].[Nombre informe de pentest]" sourceCaption="Nombre informe de pentest" count="28">
          <ranges>
            <range startItem="0">
              <i n="[Consolidado7].[Nombre informe de pentest].&amp;[1.Primera emulacion de adversario BHD_Active Directory]" c="1.Primera emulacion de adversario BHD_Active Directory"/>
              <i n="[Consolidado7].[Nombre informe de pentest].&amp;[10.BHD -  Penetration Testing Boton de Pago]" c="10.BHD -  Penetration Testing Boton de Pago"/>
              <i n="[Consolidado7].[Nombre informe de pentest].&amp;[11.Pruebas de Penetración a SIFI Cloud]" c="11.Pruebas de Penetración a SIFI Cloud"/>
              <i n="[Consolidado7].[Nombre informe de pentest].&amp;[12.Pruebas de Penetración a Superficies de Ataque_x000a_Externas e Internas de Banco BHD Panamá]" c="12.Pruebas de Penetración a Superficies de Ataque_x000a_Externas e Internas de Banco BHD Panamá"/>
              <i n="[Consolidado7].[Nombre informe de pentest].&amp;[13.Emulación de Adversarios a Puesto de Bolsa BHD]" c="13.Emulación de Adversarios a Puesto de Bolsa BHD"/>
              <i n="[Consolidado7].[Nombre informe de pentest].&amp;[2.Emulación de Adversarios al Endurecimiento de Active Directory del BHD]" c="2.Emulación de Adversarios al Endurecimiento de Active Directory del BHD"/>
              <i n="[Consolidado7].[Nombre informe de pentest].&amp;[4.Emulación de Adversarios a Controles de Transferencias en Canales Electrónicos]" c="4.Emulación de Adversarios a Controles de Transferencias en Canales Electrónicos"/>
              <i n="[Consolidado7].[Nombre informe de pentest].&amp;[6.Primera emulacion de adversario BHD_Canales Electronicos]" c="6.Primera emulacion de adversario BHD_Canales Electronicos"/>
              <i n="[Consolidado7].[Nombre informe de pentest].&amp;[7.BHD - Informe Penetration Testing Mobile Banking Personal 1]" c="7.BHD - Informe Penetration Testing Mobile Banking Personal 1"/>
              <i n="[Consolidado7].[Nombre informe de pentest].&amp;[BHD - Certificate Onboarding Certificados Financieros 2]" c="BHD - Certificate Onboarding Certificados Financieros 2"/>
              <i n="[Consolidado7].[Nombre informe de pentest].&amp;[BHD - Pentest Móvil MBE]" c="BHD - Pentest Móvil MBE"/>
              <i n="[Consolidado7].[Nombre informe de pentest].&amp;[BHD - Pentest Web IBE]" c="BHD - Pentest Web IBE"/>
              <i n="[Consolidado7].[Nombre informe de pentest].&amp;[Prueba de Penetración a API de Corresponsales de Remesas]" c="Prueba de Penetración a API de Corresponsales de Remesas"/>
              <i n="[Consolidado7].[Nombre informe de pentest].&amp;[Prueba de Penetración del Marco de Seguridad de Clientes SWIFT para Banco BHD]" c="Prueba de Penetración del Marco de Seguridad de Clientes SWIFT para Banco BHD"/>
              <i n="[Consolidado7].[Nombre informe de pentest].&amp;[Pruebas de Penetración a Aplicaciones de Remesas]" c="Pruebas de Penetración a Aplicaciones de Remesas"/>
              <i n="[Consolidado7].[Nombre informe de pentest].&amp;[Vulnerabilidades sueltas]" c="Vulnerabilidades sueltas"/>
              <i n="[Consolidado7].[Nombre informe de pentest].&amp;[3.BHD - Informe de Emulación de Adversario - Joyas de la Corona]" c="3.BHD - Informe de Emulación de Adversario - Joyas de la Corona"/>
              <i n="[Consolidado7].[Nombre informe de pentest].&amp;[5.Primera emulacion de adversario BHD_Portales Web]" c="5.Primera emulacion de adversario BHD_Portales Web"/>
              <i n="[Consolidado7].[Nombre informe de pentest].&amp;[8.Primera emulacion de adversario BHD_Vulnerabilidades y Cambios de Configuraciones]" c="8.Primera emulacion de adversario BHD_Vulnerabilidades y Cambios de Configuraciones"/>
              <i n="[Consolidado7].[Nombre informe de pentest].&amp;[9.BHD - Informe Penetration Testing Preaprobación Comercial]" c="9.BHD - Informe Penetration Testing Preaprobación Comercial"/>
              <i n="[Consolidado7].[Nombre informe de pentest].&amp;[BHD - Evaluación de Aplicaciones Tableau]" c="BHD - Evaluación de Aplicaciones Tableau"/>
              <i n="[Consolidado7].[Nombre informe de pentest].&amp;[BHD - Prueba de Penetración Web - Pagadores de Remesas]" c="BHD - Prueba de Penetración Web - Pagadores de Remesas"/>
              <i n="[Consolidado7].[Nombre informe de pentest].&amp;[Primera emulacion de adversario BHD]" c="Primera emulacion de adversario BHD"/>
              <i n="[Consolidado7].[Nombre informe de pentest].&amp;[Primera emulacion de adversario BHD_DevOps]" c="Primera emulacion de adversario BHD_DevOps"/>
              <i n="[Consolidado7].[Nombre informe de pentest].&amp;[Primera emulacion de adversario BHD_Politicas de passwords insegura]" c="Primera emulacion de adversario BHD_Politicas de passwords insegura"/>
              <i n="[Consolidado7].[Nombre informe de pentest].&amp;[Prueba de Penetración a API de Generación y Consulta de Código QR]" c="Prueba de Penetración a API de Generación y Consulta de Código QR"/>
              <i n="[Consolidado7].[Nombre informe de pentest].&amp;[Prueba de Penetración a Aplicación Web VEO para Validación de Ofertas Pre-Aprobada]" c="Prueba de Penetración a Aplicación Web VEO para Validación de Ofertas Pre-Aprobada"/>
              <i n="[Consolidado7].[Nombre informe de pentest].&amp;[Prueba de Penetración Interna]" c="Prueba de Penetración Interna"/>
            </range>
          </ranges>
        </level>
      </levels>
      <selections count="7">
        <selection n="[Consolidado7].[Nombre informe de pentest].&amp;[10.BHD -  Penetration Testing Boton de Pago]"/>
        <selection n="[Consolidado7].[Nombre informe de pentest].&amp;[4.Emulación de Adversarios a Controles de Transferencias en Canales Electrónicos]"/>
        <selection n="[Consolidado7].[Nombre informe de pentest].&amp;[5.Primera emulacion de adversario BHD_Portales Web]"/>
        <selection n="[Consolidado7].[Nombre informe de pentest].&amp;[6.Primera emulacion de adversario BHD_Canales Electronicos]"/>
        <selection n="[Consolidado7].[Nombre informe de pentest].&amp;[7.BHD - Informe Penetration Testing Mobile Banking Personal 1]"/>
        <selection n="[Consolidado7].[Nombre informe de pentest].&amp;[BHD - Pentest Móvil MBE]"/>
        <selection n="[Consolidado7].[Nombre informe de pentest].&amp;[BHD - Pentest Web IB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bre informe de pentest" xr10:uid="{3F6584B0-7EE1-4C3A-A116-E3A0149639A1}" cache="Slicer_Nombre_informe_de_pentest" caption="Nombre informe de pentest" startItem="20"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BF17563-31C6-4180-B6E7-04CEF9D42AE6}" name="Consolidado7" displayName="Consolidado7" ref="A1:V226">
  <autoFilter ref="A1:V226" xr:uid="{1BF17563-31C6-4180-B6E7-04CEF9D42AE6}"/>
  <tableColumns count="22">
    <tableColumn id="9" xr3:uid="{3ACC65D8-1357-4D6B-B70C-22D7E4FD2A2F}" name="Fecha Hallazgo"/>
    <tableColumn id="15" xr3:uid="{7085C18C-F3A4-44F6-857B-67D1CC9A91BC}" name="Institucion"/>
    <tableColumn id="3" xr3:uid="{73375C48-30A3-494B-9DD7-2069FD1DD1F7}" name="Aplicacion" totalsRowLabel="Total"/>
    <tableColumn id="1" xr3:uid="{C599B4D3-78A7-405F-A33A-5F0BEB3FA4AB}" name="Vulnerabilidad" dataDxfId="261"/>
    <tableColumn id="16" xr3:uid="{A2D9C407-DC07-4EFD-B679-4464425433C6}" name="Recomendaciones" dataDxfId="260">
      <calculatedColumnFormula array="1">-Deshabilitar la autenticación NTLM en los endpoints de Active Directory
                                                                                                                                                                                                                                                                Certificate Services (AD CS) que utilizan los servicios web de inscripción de
                                                                                                                                                                                                                                                                certificados.
-Implementa Extended Protection for Authentication (EPA) y habilita Signing
                                                                                                                                                                                                                                                                Required para proteger los canales de autenticación.
-Restringe el acceso a estos endpoints a usuarios y equipos autorizados
                                                                                                                                                                                                                                                                mediante políticas de red y controles de acceso basados en roles.</calculatedColumnFormula>
    </tableColumn>
    <tableColumn id="4" xr3:uid="{BD66F0FC-9C02-4E3B-90F8-8951FCF14E29}" name="Severidad" dataDxfId="259"/>
    <tableColumn id="5" xr3:uid="{DE0EAB13-A4F0-4C08-A095-F9DB0A58F652}" name="Notas" dataDxfId="258"/>
    <tableColumn id="11" xr3:uid="{691FC65C-CD63-4222-9AA3-2383777F1A17}" name="Riesgo Asociado" dataDxfId="257"/>
    <tableColumn id="2" xr3:uid="{4E112213-7E02-4A78-B162-A390B7339D33}" name="Descripcion del riesgo" dataDxfId="256"/>
    <tableColumn id="12" xr3:uid="{CC7D0386-E75C-43BB-B2B6-64EF3BD9837B}" name="Responsable" dataDxfId="255"/>
    <tableColumn id="13" xr3:uid="{6C358639-4793-45F4-80B3-13207B9941D9}" name="Fecha de Compromiso" dataDxfId="254"/>
    <tableColumn id="14" xr3:uid="{A5E3C4A5-BD8E-4AF1-89B3-6F19C0C242F0}" name="Notas sobre Plan de accion" dataDxfId="253"/>
    <tableColumn id="6" xr3:uid="{3F853335-8CAE-4169-BA5A-045716D71124}" name="Estatus" dataDxfId="252"/>
    <tableColumn id="19" xr3:uid="{5DA3A204-95F0-478E-A746-101D0292A087}" name="Probado Por" dataDxfId="251"/>
    <tableColumn id="20" xr3:uid="{DA948733-8666-429D-89DC-E711C17CBA00}" name="Resultado Re Test" dataDxfId="250"/>
    <tableColumn id="21" xr3:uid="{C01C6259-8E1D-451B-B00C-FFCEF95BC620}" name="Notas de impedimento" dataDxfId="249"/>
    <tableColumn id="23" xr3:uid="{5F8D1AF2-1D6D-4E99-8F4B-718DBEC2AB98}" name="Fecha de recepcion " dataDxfId="248"/>
    <tableColumn id="22" xr3:uid="{F699CB8E-B692-48C5-9B41-83322097E60D}" name="Veces en Re Test" dataDxfId="247"/>
    <tableColumn id="17" xr3:uid="{AB8F7A53-4D9D-41B4-9900-7F8535FABBC4}" name="PonderacionInformeVulnerabilidad" dataDxfId="246"/>
    <tableColumn id="7" xr3:uid="{A0095CE1-33ED-4E07-AB10-8D2E28C1B87D}" name="Nombre informe de pentest" dataDxfId="245" totalsRowDxfId="244"/>
    <tableColumn id="8" xr3:uid="{A43118AC-BCE8-4857-B54C-8931FDF2E929}" name="Proveedor" totalsRowFunction="count"/>
    <tableColumn id="10" xr3:uid="{20D73F57-502D-48D2-9CDB-27C4023DF79C}" name="Activos afectados" dataDxfId="243"/>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AB4D39-78DF-4C61-9B20-64D64D9C352E}" name="TableSeveridad" displayName="TableSeveridad" ref="A1:A5" totalsRowShown="0">
  <autoFilter ref="A1:A5" xr:uid="{19AB4D39-78DF-4C61-9B20-64D64D9C352E}"/>
  <tableColumns count="1">
    <tableColumn id="1" xr3:uid="{071512BF-F191-437B-B8F1-266F7FA0151A}" name="Severidad"/>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9A6CB2-232E-4375-8129-6E6917050673}" name="TableEstatus" displayName="TableEstatus" ref="C1:C5" totalsRowShown="0">
  <autoFilter ref="C1:C5" xr:uid="{F29A6CB2-232E-4375-8129-6E6917050673}"/>
  <tableColumns count="1">
    <tableColumn id="1" xr3:uid="{7C19BD1A-C1D3-43C8-86B4-773E85F226A8}" name="Estatus"/>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8A5BA81-B844-4381-9514-61A4CE407383}" name="TableInstitucion" displayName="TableInstitucion" ref="E1:E6" totalsRowShown="0" headerRowDxfId="242" dataDxfId="241" tableBorderDxfId="240">
  <autoFilter ref="E1:E6" xr:uid="{18A5BA81-B844-4381-9514-61A4CE407383}"/>
  <tableColumns count="1">
    <tableColumn id="1" xr3:uid="{D87F9F79-B5BA-44F4-82A1-17D51B05C5D9}" name="Institucion" dataDxfId="239"/>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387FEFC-F57C-4AFD-B3A1-BC233253419B}" name="Table8" displayName="Table8" ref="G1:G6" totalsRowShown="0">
  <autoFilter ref="G1:G6" xr:uid="{3387FEFC-F57C-4AFD-B3A1-BC233253419B}"/>
  <tableColumns count="1">
    <tableColumn id="1" xr3:uid="{658DA1FE-C04B-473D-B4F9-0D421D910613}" name="Resultado Re Test"/>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61" dT="2025-10-21T03:56:56.67" personId="{9978A32B-4A78-4B6D-ABA2-C1DB2A0619B6}" id="{20514130-740D-4EA7-92CD-6EFA998D35C5}" done="1">
    <text>Buscar el resultado de retest</text>
  </threadedComment>
  <threadedComment ref="C68" dT="2025-11-11T18:20:18.84" personId="{9978A32B-4A78-4B6D-ABA2-C1DB2A0619B6}" id="{6DDE1203-2E28-4402-8B37-058AED26040B}">
    <text>Consultar porque IBP no genera flujo de onboarding de cuenta mobil</text>
  </threadedComment>
  <threadedComment ref="D70" dT="2025-10-21T03:56:01.79" personId="{9978A32B-4A78-4B6D-ABA2-C1DB2A0619B6}" id="{1AC889B6-8133-49AB-99A5-281580A35CAE}" done="1">
    <text>Busca el Resultado de retest</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Fecha_Hallazgo" xr10:uid="{DFC2AFBA-689E-4AAE-8832-FBA79ED7064A}" sourceName="[Consolidado7].[Fecha Hallazgo]">
  <pivotTables>
    <pivotTable tabId="32" name="PivotTable6"/>
    <pivotTable tabId="32" name="PivotTable10"/>
    <pivotTable tabId="32" name="PivotTable11"/>
    <pivotTable tabId="32" name="PivotTable5"/>
  </pivotTables>
  <state minimalRefreshVersion="6" lastRefreshVersion="6" pivotCacheId="1955833555" filterType="dateBetween">
    <selection startDate="2024-01-01T00:00:00" endDate="2025-12-31T00:00:00"/>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Hallazgo" xr10:uid="{EE333FA6-4B2A-449E-AEAB-C7D33CA89634}" cache="Timeline_Fecha_Hallazgo" caption="Fecha Hallazgo" level="0" selectionLevel="0"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DA3A6-7CCB-4BD8-A81D-8BD352DA8C50}">
  <dimension ref="B2:T258"/>
  <sheetViews>
    <sheetView showGridLines="0" topLeftCell="P1" zoomScaleNormal="100" workbookViewId="0">
      <selection activeCell="Q13" sqref="Q13:S17"/>
    </sheetView>
  </sheetViews>
  <sheetFormatPr defaultRowHeight="15" x14ac:dyDescent="0.25"/>
  <cols>
    <col min="2" max="2" width="13.140625" bestFit="1" customWidth="1"/>
    <col min="3" max="3" width="22.5703125" bestFit="1" customWidth="1"/>
    <col min="12" max="12" width="7.5703125" customWidth="1"/>
    <col min="13" max="13" width="9.5703125" customWidth="1"/>
    <col min="14" max="14" width="8.85546875" customWidth="1"/>
    <col min="15" max="15" width="10.28515625" customWidth="1"/>
    <col min="16" max="16" width="99.5703125" customWidth="1"/>
    <col min="17" max="17" width="121.28515625" bestFit="1" customWidth="1"/>
    <col min="18" max="19" width="19.140625" bestFit="1" customWidth="1"/>
    <col min="20" max="20" width="22.5703125" bestFit="1" customWidth="1"/>
    <col min="21" max="21" width="16.5703125" bestFit="1" customWidth="1"/>
    <col min="22" max="24" width="22.5703125" bestFit="1" customWidth="1"/>
  </cols>
  <sheetData>
    <row r="2" spans="2:20" ht="36" customHeight="1" x14ac:dyDescent="0.25">
      <c r="B2" s="43" t="s">
        <v>0</v>
      </c>
      <c r="C2" s="43"/>
      <c r="H2" s="46" t="s">
        <v>1</v>
      </c>
      <c r="I2" s="46"/>
      <c r="J2" s="46"/>
      <c r="K2" s="46"/>
      <c r="L2" s="46"/>
      <c r="M2" s="46"/>
      <c r="N2" s="46"/>
      <c r="O2" s="46"/>
      <c r="P2" s="35" t="s">
        <v>2</v>
      </c>
      <c r="Q2" s="35" t="s">
        <v>3</v>
      </c>
      <c r="R2" s="35" t="s">
        <v>4</v>
      </c>
      <c r="S2" s="35" t="s">
        <v>5</v>
      </c>
      <c r="T2" s="36" t="s">
        <v>6</v>
      </c>
    </row>
    <row r="3" spans="2:20" ht="23.25" x14ac:dyDescent="0.25">
      <c r="B3" s="16" t="s">
        <v>7</v>
      </c>
      <c r="C3" t="s">
        <v>6</v>
      </c>
      <c r="G3" s="45" t="s">
        <v>8</v>
      </c>
      <c r="H3" s="30"/>
      <c r="I3" s="31"/>
      <c r="J3" s="31"/>
      <c r="K3" s="31"/>
      <c r="L3" s="33"/>
      <c r="M3" s="33"/>
      <c r="N3" s="33"/>
      <c r="O3" s="33"/>
      <c r="P3" s="36" t="s">
        <v>244</v>
      </c>
      <c r="Q3" t="s">
        <v>240</v>
      </c>
      <c r="R3" t="s">
        <v>15</v>
      </c>
      <c r="S3" t="s">
        <v>12</v>
      </c>
      <c r="T3" s="48">
        <v>1</v>
      </c>
    </row>
    <row r="4" spans="2:20" ht="23.25" x14ac:dyDescent="0.25">
      <c r="B4" s="34" t="s">
        <v>11</v>
      </c>
      <c r="C4" s="48">
        <v>24</v>
      </c>
      <c r="G4" s="45"/>
      <c r="H4" s="30"/>
      <c r="I4" s="30"/>
      <c r="J4" s="31"/>
      <c r="K4" s="31"/>
      <c r="L4" s="31"/>
      <c r="M4" s="33"/>
      <c r="N4" s="33"/>
      <c r="O4" s="33"/>
      <c r="P4" s="36"/>
      <c r="Q4" t="s">
        <v>473</v>
      </c>
      <c r="R4" t="s">
        <v>11</v>
      </c>
      <c r="S4" t="s">
        <v>12</v>
      </c>
      <c r="T4" s="48">
        <v>1</v>
      </c>
    </row>
    <row r="5" spans="2:20" ht="23.25" x14ac:dyDescent="0.25">
      <c r="B5" s="34" t="s">
        <v>198</v>
      </c>
      <c r="C5" s="48">
        <v>4</v>
      </c>
      <c r="G5" s="45"/>
      <c r="H5" s="30"/>
      <c r="I5" s="30"/>
      <c r="J5" s="30"/>
      <c r="K5" s="31"/>
      <c r="L5" s="31"/>
      <c r="M5" s="31"/>
      <c r="N5" s="33"/>
      <c r="O5" s="33"/>
      <c r="P5" s="36"/>
      <c r="Q5" t="s">
        <v>645</v>
      </c>
      <c r="R5" t="s">
        <v>15</v>
      </c>
      <c r="S5" t="s">
        <v>12</v>
      </c>
      <c r="T5" s="48">
        <v>1</v>
      </c>
    </row>
    <row r="6" spans="2:20" ht="23.25" x14ac:dyDescent="0.25">
      <c r="B6" s="34" t="s">
        <v>15</v>
      </c>
      <c r="C6" s="48">
        <v>14</v>
      </c>
      <c r="G6" s="45"/>
      <c r="H6" s="32"/>
      <c r="I6" s="30"/>
      <c r="J6" s="30"/>
      <c r="K6" s="30"/>
      <c r="L6" s="31"/>
      <c r="M6" s="31"/>
      <c r="N6" s="31"/>
      <c r="O6" s="33"/>
      <c r="P6" s="36"/>
      <c r="Q6" t="s">
        <v>261</v>
      </c>
      <c r="R6" t="s">
        <v>15</v>
      </c>
      <c r="S6" t="s">
        <v>12</v>
      </c>
      <c r="T6" s="48">
        <v>1</v>
      </c>
    </row>
    <row r="7" spans="2:20" ht="23.25" x14ac:dyDescent="0.25">
      <c r="B7" s="34" t="s">
        <v>17</v>
      </c>
      <c r="C7" s="48">
        <v>35</v>
      </c>
      <c r="G7" s="45"/>
      <c r="H7" s="32"/>
      <c r="I7" s="32"/>
      <c r="J7" s="30"/>
      <c r="K7" s="30"/>
      <c r="L7" s="30"/>
      <c r="M7" s="31"/>
      <c r="N7" s="31"/>
      <c r="O7" s="31"/>
      <c r="P7" s="36"/>
      <c r="Q7" t="s">
        <v>265</v>
      </c>
      <c r="R7" t="s">
        <v>15</v>
      </c>
      <c r="S7" t="s">
        <v>12</v>
      </c>
      <c r="T7" s="48">
        <v>1</v>
      </c>
    </row>
    <row r="8" spans="2:20" ht="23.25" x14ac:dyDescent="0.25">
      <c r="B8" s="17" t="s">
        <v>19</v>
      </c>
      <c r="C8" s="47">
        <v>77</v>
      </c>
      <c r="G8" s="45"/>
      <c r="H8" s="32"/>
      <c r="I8" s="32"/>
      <c r="J8" s="32"/>
      <c r="K8" s="30"/>
      <c r="L8" s="30"/>
      <c r="M8" s="30"/>
      <c r="N8" s="31"/>
      <c r="O8" s="31"/>
      <c r="P8" s="36"/>
      <c r="Q8" t="s">
        <v>498</v>
      </c>
      <c r="R8" t="s">
        <v>11</v>
      </c>
      <c r="S8" t="s">
        <v>12</v>
      </c>
      <c r="T8" s="48">
        <v>1</v>
      </c>
    </row>
    <row r="9" spans="2:20" ht="23.25" x14ac:dyDescent="0.25">
      <c r="G9" s="45"/>
      <c r="H9" s="32"/>
      <c r="I9" s="32"/>
      <c r="J9" s="32"/>
      <c r="K9" s="32"/>
      <c r="L9" s="30"/>
      <c r="M9" s="30"/>
      <c r="N9" s="30"/>
      <c r="O9" s="31"/>
      <c r="P9" s="36"/>
      <c r="Q9" t="s">
        <v>505</v>
      </c>
      <c r="R9" t="s">
        <v>11</v>
      </c>
      <c r="S9" t="s">
        <v>12</v>
      </c>
      <c r="T9" s="48">
        <v>1</v>
      </c>
    </row>
    <row r="10" spans="2:20" ht="23.25" x14ac:dyDescent="0.25">
      <c r="B10" s="43" t="s">
        <v>23</v>
      </c>
      <c r="C10" s="43"/>
      <c r="G10" s="45"/>
      <c r="H10" s="32"/>
      <c r="I10" s="32"/>
      <c r="J10" s="32"/>
      <c r="K10" s="32"/>
      <c r="L10" s="32"/>
      <c r="M10" s="30"/>
      <c r="N10" s="30"/>
      <c r="O10" s="30"/>
      <c r="P10" s="36"/>
      <c r="Q10" t="s">
        <v>507</v>
      </c>
      <c r="R10" t="s">
        <v>11</v>
      </c>
      <c r="S10" t="s">
        <v>12</v>
      </c>
      <c r="T10" s="48">
        <v>1</v>
      </c>
    </row>
    <row r="11" spans="2:20" x14ac:dyDescent="0.25">
      <c r="B11" s="16" t="s">
        <v>7</v>
      </c>
      <c r="C11" t="s">
        <v>6</v>
      </c>
      <c r="H11" s="44" t="s">
        <v>25</v>
      </c>
      <c r="I11" s="44"/>
      <c r="J11" s="44"/>
      <c r="K11" s="44"/>
      <c r="L11" s="44"/>
      <c r="M11" s="44"/>
      <c r="N11" s="44"/>
      <c r="O11" s="44"/>
      <c r="P11" s="36"/>
      <c r="Q11" t="s">
        <v>309</v>
      </c>
      <c r="R11" t="s">
        <v>15</v>
      </c>
      <c r="S11" t="s">
        <v>12</v>
      </c>
      <c r="T11" s="48">
        <v>1</v>
      </c>
    </row>
    <row r="12" spans="2:20" x14ac:dyDescent="0.25">
      <c r="B12" s="17" t="s">
        <v>14</v>
      </c>
      <c r="C12" s="47">
        <v>32</v>
      </c>
      <c r="P12" s="36"/>
      <c r="Q12" t="s">
        <v>510</v>
      </c>
      <c r="R12" t="s">
        <v>11</v>
      </c>
      <c r="S12" t="s">
        <v>12</v>
      </c>
      <c r="T12" s="48">
        <v>1</v>
      </c>
    </row>
    <row r="13" spans="2:20" x14ac:dyDescent="0.25">
      <c r="B13" s="17" t="s">
        <v>12</v>
      </c>
      <c r="C13" s="47">
        <v>45</v>
      </c>
      <c r="P13" s="36" t="s">
        <v>46</v>
      </c>
      <c r="Q13" t="s">
        <v>50</v>
      </c>
      <c r="R13" t="s">
        <v>11</v>
      </c>
      <c r="S13" t="s">
        <v>12</v>
      </c>
      <c r="T13" s="48">
        <v>1</v>
      </c>
    </row>
    <row r="14" spans="2:20" x14ac:dyDescent="0.25">
      <c r="B14" s="17" t="s">
        <v>19</v>
      </c>
      <c r="C14" s="47">
        <v>77</v>
      </c>
      <c r="P14" s="36"/>
      <c r="Q14" t="s">
        <v>51</v>
      </c>
      <c r="R14" t="s">
        <v>11</v>
      </c>
      <c r="S14" t="s">
        <v>12</v>
      </c>
      <c r="T14" s="48">
        <v>1</v>
      </c>
    </row>
    <row r="15" spans="2:20" x14ac:dyDescent="0.25">
      <c r="P15" s="36"/>
      <c r="Q15" t="s">
        <v>53</v>
      </c>
      <c r="R15" t="s">
        <v>11</v>
      </c>
      <c r="S15" t="s">
        <v>12</v>
      </c>
      <c r="T15" s="48">
        <v>1</v>
      </c>
    </row>
    <row r="16" spans="2:20" x14ac:dyDescent="0.25">
      <c r="P16" s="36"/>
      <c r="Q16" t="s">
        <v>57</v>
      </c>
      <c r="R16" t="s">
        <v>11</v>
      </c>
      <c r="S16" t="s">
        <v>12</v>
      </c>
      <c r="T16" s="48">
        <v>1</v>
      </c>
    </row>
    <row r="17" spans="2:20" x14ac:dyDescent="0.25">
      <c r="P17" s="36"/>
      <c r="Q17" t="s">
        <v>58</v>
      </c>
      <c r="R17" t="s">
        <v>11</v>
      </c>
      <c r="S17" t="s">
        <v>12</v>
      </c>
      <c r="T17" s="48">
        <v>1</v>
      </c>
    </row>
    <row r="18" spans="2:20" x14ac:dyDescent="0.25">
      <c r="P18" s="36" t="s">
        <v>111</v>
      </c>
      <c r="Q18" t="s">
        <v>231</v>
      </c>
      <c r="R18" t="s">
        <v>11</v>
      </c>
      <c r="S18" t="s">
        <v>12</v>
      </c>
      <c r="T18" s="48">
        <v>1</v>
      </c>
    </row>
    <row r="19" spans="2:20" ht="21" x14ac:dyDescent="0.25">
      <c r="B19" s="43" t="s">
        <v>36</v>
      </c>
      <c r="C19" s="43"/>
      <c r="P19" s="36"/>
      <c r="Q19" t="s">
        <v>190</v>
      </c>
      <c r="R19" t="s">
        <v>11</v>
      </c>
      <c r="S19" t="s">
        <v>12</v>
      </c>
      <c r="T19" s="48">
        <v>1</v>
      </c>
    </row>
    <row r="20" spans="2:20" x14ac:dyDescent="0.25">
      <c r="B20" s="16" t="s">
        <v>7</v>
      </c>
      <c r="C20" t="s">
        <v>6</v>
      </c>
      <c r="P20" s="36" t="s">
        <v>304</v>
      </c>
      <c r="Q20" t="s">
        <v>302</v>
      </c>
      <c r="R20" t="s">
        <v>11</v>
      </c>
      <c r="S20" t="s">
        <v>12</v>
      </c>
      <c r="T20" s="48">
        <v>1</v>
      </c>
    </row>
    <row r="21" spans="2:20" x14ac:dyDescent="0.25">
      <c r="B21" s="17">
        <v>0</v>
      </c>
      <c r="C21" s="47"/>
      <c r="P21" s="36"/>
      <c r="Q21" t="s">
        <v>424</v>
      </c>
      <c r="R21" t="s">
        <v>11</v>
      </c>
      <c r="S21" t="s">
        <v>12</v>
      </c>
      <c r="T21" s="48">
        <v>1</v>
      </c>
    </row>
    <row r="22" spans="2:20" x14ac:dyDescent="0.25">
      <c r="B22" s="29" t="s">
        <v>12</v>
      </c>
      <c r="C22" s="47">
        <v>39</v>
      </c>
      <c r="P22" s="36" t="s">
        <v>336</v>
      </c>
      <c r="Q22" t="s">
        <v>335</v>
      </c>
      <c r="R22" t="s">
        <v>15</v>
      </c>
      <c r="S22" t="s">
        <v>12</v>
      </c>
      <c r="T22" s="48">
        <v>1</v>
      </c>
    </row>
    <row r="23" spans="2:20" x14ac:dyDescent="0.25">
      <c r="B23" s="17">
        <v>1</v>
      </c>
      <c r="C23" s="47"/>
      <c r="P23" s="36" t="s">
        <v>187</v>
      </c>
      <c r="Q23" t="s">
        <v>185</v>
      </c>
      <c r="R23" t="s">
        <v>15</v>
      </c>
      <c r="S23" t="s">
        <v>12</v>
      </c>
      <c r="T23" s="48">
        <v>1</v>
      </c>
    </row>
    <row r="24" spans="2:20" x14ac:dyDescent="0.25">
      <c r="B24" s="29" t="s">
        <v>14</v>
      </c>
      <c r="C24" s="47">
        <v>16</v>
      </c>
      <c r="P24" t="s">
        <v>19</v>
      </c>
      <c r="T24" s="48">
        <v>21</v>
      </c>
    </row>
    <row r="25" spans="2:20" x14ac:dyDescent="0.25">
      <c r="B25" s="29" t="s">
        <v>12</v>
      </c>
      <c r="C25" s="47">
        <v>2</v>
      </c>
    </row>
    <row r="26" spans="2:20" x14ac:dyDescent="0.25">
      <c r="B26" s="17">
        <v>2</v>
      </c>
      <c r="C26" s="47"/>
    </row>
    <row r="27" spans="2:20" x14ac:dyDescent="0.25">
      <c r="B27" s="29" t="s">
        <v>14</v>
      </c>
      <c r="C27" s="47">
        <v>9</v>
      </c>
    </row>
    <row r="28" spans="2:20" x14ac:dyDescent="0.25">
      <c r="B28" s="29" t="s">
        <v>12</v>
      </c>
      <c r="C28" s="47">
        <v>3</v>
      </c>
    </row>
    <row r="29" spans="2:20" x14ac:dyDescent="0.25">
      <c r="B29" s="17">
        <v>3</v>
      </c>
      <c r="C29" s="47"/>
    </row>
    <row r="30" spans="2:20" x14ac:dyDescent="0.25">
      <c r="B30" s="29" t="s">
        <v>14</v>
      </c>
      <c r="C30" s="47">
        <v>5</v>
      </c>
    </row>
    <row r="31" spans="2:20" x14ac:dyDescent="0.25">
      <c r="B31" s="29" t="s">
        <v>12</v>
      </c>
      <c r="C31" s="47">
        <v>1</v>
      </c>
    </row>
    <row r="32" spans="2:20" x14ac:dyDescent="0.25">
      <c r="B32" s="17">
        <v>4</v>
      </c>
      <c r="C32" s="47"/>
    </row>
    <row r="33" spans="2:3" x14ac:dyDescent="0.25">
      <c r="B33" s="29" t="s">
        <v>14</v>
      </c>
      <c r="C33" s="47">
        <v>2</v>
      </c>
    </row>
    <row r="34" spans="2:3" x14ac:dyDescent="0.25">
      <c r="B34" s="17" t="s">
        <v>19</v>
      </c>
      <c r="C34" s="47">
        <v>77</v>
      </c>
    </row>
    <row r="255" spans="18:18" x14ac:dyDescent="0.25">
      <c r="R255">
        <f>_xlfn.XLOOKUP("Critica",$B$4:$B$7,$C$4:$C$7,0,0,1)</f>
        <v>14</v>
      </c>
    </row>
    <row r="256" spans="18:18" x14ac:dyDescent="0.25">
      <c r="R256">
        <f>_xlfn.XLOOKUP("Alta",$B$4:$B$7,$C$4:$C$7,0,0,1)</f>
        <v>24</v>
      </c>
    </row>
    <row r="257" spans="18:18" x14ac:dyDescent="0.25">
      <c r="R257">
        <f>_xlfn.XLOOKUP("Media",$B$4:$B$7,$C$4:$C$7,0,0,1)</f>
        <v>35</v>
      </c>
    </row>
    <row r="258" spans="18:18" x14ac:dyDescent="0.25">
      <c r="R258">
        <f>_xlfn.XLOOKUP("Baja",$B$4:$B$7,$C$4:$C$7,0,0,1)</f>
        <v>4</v>
      </c>
    </row>
  </sheetData>
  <mergeCells count="6">
    <mergeCell ref="B19:C19"/>
    <mergeCell ref="H11:O11"/>
    <mergeCell ref="G3:G10"/>
    <mergeCell ref="H2:O2"/>
    <mergeCell ref="B2:C2"/>
    <mergeCell ref="B10:C10"/>
  </mergeCells>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226"/>
  <sheetViews>
    <sheetView tabSelected="1" zoomScale="70" zoomScaleNormal="70" workbookViewId="0">
      <selection activeCell="D77" sqref="D77"/>
    </sheetView>
  </sheetViews>
  <sheetFormatPr defaultColWidth="50" defaultRowHeight="15" x14ac:dyDescent="0.25"/>
  <cols>
    <col min="2" max="2" width="9.85546875" customWidth="1"/>
    <col min="4" max="4" width="117.7109375" customWidth="1"/>
    <col min="5" max="5" width="0" hidden="1" customWidth="1"/>
    <col min="6" max="6" width="16.42578125" bestFit="1" customWidth="1"/>
    <col min="7" max="7" width="0" hidden="1" customWidth="1"/>
    <col min="8" max="8" width="71.5703125" hidden="1" customWidth="1"/>
    <col min="9" max="9" width="50" hidden="1" customWidth="1"/>
    <col min="10" max="10" width="20" hidden="1" customWidth="1"/>
    <col min="11" max="11" width="30.5703125" hidden="1" customWidth="1"/>
    <col min="12" max="12" width="52.42578125" style="3" hidden="1" customWidth="1"/>
    <col min="16" max="16" width="53.5703125" style="3" bestFit="1" customWidth="1"/>
    <col min="19" max="19" width="50" style="23"/>
    <col min="20" max="20" width="86.85546875" bestFit="1" customWidth="1"/>
    <col min="21" max="21" width="0" style="3" hidden="1" customWidth="1"/>
    <col min="22" max="22" width="0" hidden="1" customWidth="1"/>
  </cols>
  <sheetData>
    <row r="1" spans="1:22" x14ac:dyDescent="0.25">
      <c r="A1" t="s">
        <v>77</v>
      </c>
      <c r="B1" t="s">
        <v>78</v>
      </c>
      <c r="C1" t="s">
        <v>79</v>
      </c>
      <c r="D1" t="s">
        <v>3</v>
      </c>
      <c r="E1" t="s">
        <v>80</v>
      </c>
      <c r="F1" t="s">
        <v>4</v>
      </c>
      <c r="G1" s="3" t="s">
        <v>81</v>
      </c>
      <c r="H1" t="s">
        <v>82</v>
      </c>
      <c r="I1" t="s">
        <v>83</v>
      </c>
      <c r="J1" t="s">
        <v>84</v>
      </c>
      <c r="K1" t="s">
        <v>85</v>
      </c>
      <c r="L1" t="s">
        <v>86</v>
      </c>
      <c r="M1" t="s">
        <v>87</v>
      </c>
      <c r="N1" t="s">
        <v>88</v>
      </c>
      <c r="O1" t="s">
        <v>5</v>
      </c>
      <c r="P1" s="3" t="s">
        <v>89</v>
      </c>
      <c r="Q1" t="s">
        <v>90</v>
      </c>
      <c r="R1" t="s">
        <v>91</v>
      </c>
      <c r="S1" s="23" t="s">
        <v>92</v>
      </c>
      <c r="T1" t="s">
        <v>2</v>
      </c>
      <c r="U1" t="s">
        <v>93</v>
      </c>
      <c r="V1" s="3" t="s">
        <v>94</v>
      </c>
    </row>
    <row r="2" spans="1:22" ht="30" x14ac:dyDescent="0.25">
      <c r="A2" s="2">
        <v>45558</v>
      </c>
      <c r="B2" t="s">
        <v>95</v>
      </c>
      <c r="D2" s="1" t="s">
        <v>96</v>
      </c>
      <c r="E2" s="10" t="s">
        <v>97</v>
      </c>
      <c r="F2" s="1" t="s">
        <v>17</v>
      </c>
      <c r="G2" s="10"/>
      <c r="H2" s="1"/>
      <c r="I2" s="10"/>
      <c r="J2" s="10"/>
      <c r="K2" s="10"/>
      <c r="L2" s="10"/>
      <c r="M2" s="1" t="s">
        <v>98</v>
      </c>
      <c r="N2" s="1" t="s">
        <v>99</v>
      </c>
      <c r="O2" s="1" t="s">
        <v>14</v>
      </c>
      <c r="P2" s="10"/>
      <c r="Q2" s="11"/>
      <c r="R2" s="1">
        <v>1</v>
      </c>
      <c r="S2" s="23" t="s">
        <v>100</v>
      </c>
      <c r="T2" t="s">
        <v>101</v>
      </c>
      <c r="U2" t="s">
        <v>99</v>
      </c>
      <c r="V2" s="3"/>
    </row>
    <row r="3" spans="1:22" ht="30" x14ac:dyDescent="0.25">
      <c r="A3" s="2">
        <v>45558</v>
      </c>
      <c r="B3" t="s">
        <v>95</v>
      </c>
      <c r="D3" s="1" t="s">
        <v>102</v>
      </c>
      <c r="E3" s="10" t="s">
        <v>103</v>
      </c>
      <c r="F3" s="1" t="s">
        <v>17</v>
      </c>
      <c r="G3" s="10"/>
      <c r="H3" s="1"/>
      <c r="I3" s="10"/>
      <c r="J3" s="10"/>
      <c r="K3" s="10"/>
      <c r="L3" s="10"/>
      <c r="M3" s="1" t="s">
        <v>104</v>
      </c>
      <c r="N3" s="1" t="s">
        <v>99</v>
      </c>
      <c r="O3" s="1" t="s">
        <v>12</v>
      </c>
      <c r="P3" s="10" t="s">
        <v>105</v>
      </c>
      <c r="Q3" s="11"/>
      <c r="R3" s="1">
        <v>2</v>
      </c>
      <c r="S3" s="23" t="s">
        <v>106</v>
      </c>
      <c r="T3" t="s">
        <v>101</v>
      </c>
      <c r="U3" t="s">
        <v>99</v>
      </c>
      <c r="V3" s="3"/>
    </row>
    <row r="4" spans="1:22" ht="105" x14ac:dyDescent="0.25">
      <c r="A4" s="2">
        <v>45558</v>
      </c>
      <c r="B4" t="s">
        <v>95</v>
      </c>
      <c r="C4" t="s">
        <v>107</v>
      </c>
      <c r="D4" s="1" t="s">
        <v>108</v>
      </c>
      <c r="E4" s="10" t="s">
        <v>109</v>
      </c>
      <c r="F4" s="1" t="s">
        <v>11</v>
      </c>
      <c r="G4" s="10"/>
      <c r="H4" s="1"/>
      <c r="I4" s="10"/>
      <c r="J4" s="10"/>
      <c r="K4" s="10"/>
      <c r="L4" s="10"/>
      <c r="M4" s="1" t="s">
        <v>98</v>
      </c>
      <c r="N4" s="1" t="s">
        <v>99</v>
      </c>
      <c r="O4" s="1" t="s">
        <v>14</v>
      </c>
      <c r="P4" s="10"/>
      <c r="Q4" s="11"/>
      <c r="R4" s="1">
        <v>2</v>
      </c>
      <c r="S4" s="23" t="s">
        <v>110</v>
      </c>
      <c r="T4" t="s">
        <v>111</v>
      </c>
      <c r="U4" t="s">
        <v>99</v>
      </c>
      <c r="V4" s="3" t="s">
        <v>107</v>
      </c>
    </row>
    <row r="5" spans="1:22" ht="30" x14ac:dyDescent="0.25">
      <c r="A5" s="2">
        <v>45558</v>
      </c>
      <c r="B5" t="s">
        <v>95</v>
      </c>
      <c r="C5" t="s">
        <v>112</v>
      </c>
      <c r="D5" s="1" t="s">
        <v>113</v>
      </c>
      <c r="E5" s="10" t="s">
        <v>114</v>
      </c>
      <c r="F5" s="1" t="s">
        <v>17</v>
      </c>
      <c r="G5" s="10"/>
      <c r="H5" s="1"/>
      <c r="I5" s="10"/>
      <c r="J5" s="10"/>
      <c r="K5" s="10"/>
      <c r="L5" s="10"/>
      <c r="M5" s="1" t="s">
        <v>98</v>
      </c>
      <c r="N5" s="1" t="s">
        <v>99</v>
      </c>
      <c r="O5" s="1" t="s">
        <v>14</v>
      </c>
      <c r="P5" s="10"/>
      <c r="Q5" s="11">
        <v>45684</v>
      </c>
      <c r="R5" s="1">
        <v>2</v>
      </c>
      <c r="S5" s="23" t="s">
        <v>115</v>
      </c>
      <c r="T5" t="s">
        <v>111</v>
      </c>
      <c r="U5" t="s">
        <v>99</v>
      </c>
      <c r="V5" s="3" t="s">
        <v>112</v>
      </c>
    </row>
    <row r="6" spans="1:22" x14ac:dyDescent="0.25">
      <c r="A6" s="2">
        <v>45558</v>
      </c>
      <c r="B6" t="s">
        <v>95</v>
      </c>
      <c r="C6" t="s">
        <v>112</v>
      </c>
      <c r="D6" s="1" t="s">
        <v>116</v>
      </c>
      <c r="E6" s="1" t="s">
        <v>117</v>
      </c>
      <c r="F6" s="1" t="s">
        <v>17</v>
      </c>
      <c r="G6" s="10"/>
      <c r="H6" s="1"/>
      <c r="I6" s="10"/>
      <c r="J6" s="10"/>
      <c r="K6" s="10"/>
      <c r="L6" s="10"/>
      <c r="M6" s="1" t="s">
        <v>98</v>
      </c>
      <c r="N6" s="1" t="s">
        <v>99</v>
      </c>
      <c r="O6" s="1" t="s">
        <v>14</v>
      </c>
      <c r="P6" s="10"/>
      <c r="Q6" s="11"/>
      <c r="R6" s="1">
        <v>3</v>
      </c>
      <c r="S6" s="23" t="s">
        <v>118</v>
      </c>
      <c r="T6" t="s">
        <v>111</v>
      </c>
      <c r="U6" t="s">
        <v>99</v>
      </c>
      <c r="V6" s="3" t="s">
        <v>112</v>
      </c>
    </row>
    <row r="7" spans="1:22" x14ac:dyDescent="0.25">
      <c r="A7" s="2">
        <v>45558</v>
      </c>
      <c r="B7" t="s">
        <v>95</v>
      </c>
      <c r="C7" t="s">
        <v>119</v>
      </c>
      <c r="D7" s="1" t="s">
        <v>56</v>
      </c>
      <c r="E7" s="1" t="s">
        <v>120</v>
      </c>
      <c r="F7" s="1" t="s">
        <v>17</v>
      </c>
      <c r="G7" s="10"/>
      <c r="H7" s="1"/>
      <c r="I7" s="10"/>
      <c r="J7" s="10"/>
      <c r="K7" s="10"/>
      <c r="L7" s="10"/>
      <c r="M7" s="1" t="s">
        <v>104</v>
      </c>
      <c r="N7" s="1" t="s">
        <v>99</v>
      </c>
      <c r="O7" s="1" t="s">
        <v>12</v>
      </c>
      <c r="P7" s="10"/>
      <c r="Q7" s="11"/>
      <c r="R7" s="1">
        <v>2</v>
      </c>
      <c r="S7" s="23" t="s">
        <v>121</v>
      </c>
      <c r="T7" t="s">
        <v>111</v>
      </c>
      <c r="U7" t="s">
        <v>99</v>
      </c>
      <c r="V7" s="3" t="s">
        <v>119</v>
      </c>
    </row>
    <row r="8" spans="1:22" x14ac:dyDescent="0.25">
      <c r="A8" s="2">
        <v>45558</v>
      </c>
      <c r="B8" t="s">
        <v>95</v>
      </c>
      <c r="C8" t="s">
        <v>122</v>
      </c>
      <c r="D8" s="1" t="s">
        <v>123</v>
      </c>
      <c r="E8" s="1" t="s">
        <v>124</v>
      </c>
      <c r="F8" s="1" t="s">
        <v>17</v>
      </c>
      <c r="G8" s="10"/>
      <c r="H8" s="1"/>
      <c r="I8" s="10"/>
      <c r="J8" s="10"/>
      <c r="K8" s="10"/>
      <c r="L8" s="10"/>
      <c r="M8" s="1" t="s">
        <v>98</v>
      </c>
      <c r="N8" s="10" t="s">
        <v>99</v>
      </c>
      <c r="O8" s="1" t="s">
        <v>14</v>
      </c>
      <c r="P8" s="10"/>
      <c r="Q8" s="11"/>
      <c r="R8" s="1">
        <v>1</v>
      </c>
      <c r="S8" s="23" t="s">
        <v>125</v>
      </c>
      <c r="T8" t="s">
        <v>111</v>
      </c>
      <c r="U8" t="s">
        <v>99</v>
      </c>
      <c r="V8" s="3" t="s">
        <v>122</v>
      </c>
    </row>
    <row r="9" spans="1:22" x14ac:dyDescent="0.25">
      <c r="A9" s="2">
        <v>45558</v>
      </c>
      <c r="B9" t="s">
        <v>95</v>
      </c>
      <c r="C9" t="s">
        <v>126</v>
      </c>
      <c r="D9" s="1" t="s">
        <v>127</v>
      </c>
      <c r="E9" s="1" t="s">
        <v>128</v>
      </c>
      <c r="F9" s="1" t="s">
        <v>17</v>
      </c>
      <c r="G9" s="10"/>
      <c r="H9" s="1"/>
      <c r="I9" s="10"/>
      <c r="J9" s="10"/>
      <c r="K9" s="10"/>
      <c r="L9" s="10"/>
      <c r="M9" s="1" t="s">
        <v>98</v>
      </c>
      <c r="N9" s="10" t="s">
        <v>99</v>
      </c>
      <c r="O9" s="1" t="s">
        <v>14</v>
      </c>
      <c r="P9" s="10"/>
      <c r="Q9" s="11"/>
      <c r="R9" s="1">
        <v>2</v>
      </c>
      <c r="S9" s="23" t="s">
        <v>129</v>
      </c>
      <c r="T9" t="s">
        <v>111</v>
      </c>
      <c r="U9" t="s">
        <v>99</v>
      </c>
      <c r="V9" t="s">
        <v>126</v>
      </c>
    </row>
    <row r="10" spans="1:22" ht="165" x14ac:dyDescent="0.25">
      <c r="A10" s="2">
        <v>45558</v>
      </c>
      <c r="B10" t="s">
        <v>95</v>
      </c>
      <c r="C10" t="s">
        <v>130</v>
      </c>
      <c r="D10" s="1" t="s">
        <v>131</v>
      </c>
      <c r="E10" s="10" t="s">
        <v>132</v>
      </c>
      <c r="F10" s="1" t="s">
        <v>17</v>
      </c>
      <c r="G10" s="10"/>
      <c r="H10" s="1"/>
      <c r="I10" s="10"/>
      <c r="J10" s="10"/>
      <c r="K10" s="10"/>
      <c r="L10" s="10"/>
      <c r="M10" s="1" t="s">
        <v>104</v>
      </c>
      <c r="N10" s="10" t="s">
        <v>99</v>
      </c>
      <c r="O10" s="1" t="s">
        <v>12</v>
      </c>
      <c r="P10" s="10"/>
      <c r="Q10" s="11"/>
      <c r="R10" s="1">
        <v>3</v>
      </c>
      <c r="S10" s="23" t="s">
        <v>133</v>
      </c>
      <c r="T10" t="s">
        <v>111</v>
      </c>
      <c r="U10" t="s">
        <v>99</v>
      </c>
      <c r="V10" s="3" t="s">
        <v>134</v>
      </c>
    </row>
    <row r="11" spans="1:22" ht="60" x14ac:dyDescent="0.25">
      <c r="A11" s="2">
        <v>45558</v>
      </c>
      <c r="B11" t="s">
        <v>95</v>
      </c>
      <c r="C11" t="s">
        <v>130</v>
      </c>
      <c r="D11" s="1" t="s">
        <v>135</v>
      </c>
      <c r="E11" s="10" t="s">
        <v>136</v>
      </c>
      <c r="F11" s="1" t="s">
        <v>17</v>
      </c>
      <c r="G11" s="10"/>
      <c r="H11" s="1"/>
      <c r="I11" s="10"/>
      <c r="J11" s="10"/>
      <c r="K11" s="10"/>
      <c r="L11" s="10"/>
      <c r="M11" s="1" t="s">
        <v>98</v>
      </c>
      <c r="N11" s="10" t="s">
        <v>99</v>
      </c>
      <c r="O11" s="1" t="s">
        <v>14</v>
      </c>
      <c r="P11" s="10"/>
      <c r="Q11" s="11"/>
      <c r="R11" s="1">
        <v>1</v>
      </c>
      <c r="S11" s="23" t="s">
        <v>137</v>
      </c>
      <c r="T11" t="s">
        <v>111</v>
      </c>
      <c r="U11" t="s">
        <v>99</v>
      </c>
      <c r="V11" s="3" t="s">
        <v>134</v>
      </c>
    </row>
    <row r="12" spans="1:22" ht="60" x14ac:dyDescent="0.25">
      <c r="A12" s="2">
        <v>45931</v>
      </c>
      <c r="B12" t="s">
        <v>95</v>
      </c>
      <c r="C12" s="3" t="s">
        <v>138</v>
      </c>
      <c r="D12" s="1" t="s">
        <v>33</v>
      </c>
      <c r="E12" s="10" t="s">
        <v>139</v>
      </c>
      <c r="F12" s="1" t="s">
        <v>11</v>
      </c>
      <c r="G12" s="10"/>
      <c r="H12" s="1"/>
      <c r="I12" s="10"/>
      <c r="J12" s="10"/>
      <c r="K12" s="10"/>
      <c r="L12" s="10"/>
      <c r="M12" s="1" t="s">
        <v>140</v>
      </c>
      <c r="N12" s="1"/>
      <c r="O12" s="1" t="s">
        <v>12</v>
      </c>
      <c r="P12" s="10"/>
      <c r="Q12" s="11"/>
      <c r="R12" s="1">
        <v>0</v>
      </c>
      <c r="S12" s="23" t="s">
        <v>141</v>
      </c>
      <c r="T12" t="s">
        <v>31</v>
      </c>
      <c r="U12" t="s">
        <v>99</v>
      </c>
      <c r="V12" s="3" t="s">
        <v>142</v>
      </c>
    </row>
    <row r="13" spans="1:22" ht="180" x14ac:dyDescent="0.25">
      <c r="A13" s="2">
        <v>45682</v>
      </c>
      <c r="B13" s="2" t="s">
        <v>143</v>
      </c>
      <c r="C13" t="s">
        <v>144</v>
      </c>
      <c r="D13" s="1" t="s">
        <v>44</v>
      </c>
      <c r="E13" s="10" t="s">
        <v>145</v>
      </c>
      <c r="F13" s="1" t="s">
        <v>15</v>
      </c>
      <c r="G13" s="10"/>
      <c r="H13" s="1"/>
      <c r="I13" s="10"/>
      <c r="J13" s="10"/>
      <c r="K13" s="10"/>
      <c r="L13" s="10"/>
      <c r="M13" s="1" t="s">
        <v>98</v>
      </c>
      <c r="N13" s="1" t="s">
        <v>99</v>
      </c>
      <c r="O13" s="1" t="s">
        <v>14</v>
      </c>
      <c r="P13" s="10"/>
      <c r="Q13" s="11"/>
      <c r="R13" s="1">
        <v>4</v>
      </c>
      <c r="S13" s="23" t="s">
        <v>146</v>
      </c>
      <c r="T13" t="s">
        <v>40</v>
      </c>
      <c r="U13" t="s">
        <v>99</v>
      </c>
      <c r="V13" s="3" t="s">
        <v>147</v>
      </c>
    </row>
    <row r="14" spans="1:22" x14ac:dyDescent="0.25">
      <c r="A14" s="2">
        <v>45682</v>
      </c>
      <c r="B14" s="2" t="s">
        <v>143</v>
      </c>
      <c r="C14" t="s">
        <v>148</v>
      </c>
      <c r="D14" s="1" t="s">
        <v>41</v>
      </c>
      <c r="E14" s="1"/>
      <c r="F14" s="1" t="s">
        <v>17</v>
      </c>
      <c r="G14" s="10"/>
      <c r="H14" s="1"/>
      <c r="I14" s="10"/>
      <c r="J14" s="10"/>
      <c r="K14" s="10"/>
      <c r="L14" s="10"/>
      <c r="M14" s="1" t="s">
        <v>104</v>
      </c>
      <c r="N14" s="1" t="s">
        <v>99</v>
      </c>
      <c r="O14" s="1" t="s">
        <v>12</v>
      </c>
      <c r="P14" s="10"/>
      <c r="Q14" s="11"/>
      <c r="R14" s="1">
        <v>0</v>
      </c>
      <c r="S14" s="23" t="s">
        <v>149</v>
      </c>
      <c r="T14" t="s">
        <v>40</v>
      </c>
      <c r="U14" t="s">
        <v>99</v>
      </c>
      <c r="V14" s="3" t="s">
        <v>150</v>
      </c>
    </row>
    <row r="15" spans="1:22" x14ac:dyDescent="0.25">
      <c r="A15" s="2">
        <v>45558</v>
      </c>
      <c r="B15" t="s">
        <v>95</v>
      </c>
      <c r="C15" t="s">
        <v>151</v>
      </c>
      <c r="D15" s="1" t="s">
        <v>152</v>
      </c>
      <c r="E15" s="1" t="s">
        <v>153</v>
      </c>
      <c r="F15" s="1" t="s">
        <v>17</v>
      </c>
      <c r="G15" s="10"/>
      <c r="H15" s="1"/>
      <c r="I15" s="10"/>
      <c r="J15" s="10"/>
      <c r="K15" s="10"/>
      <c r="L15" s="10"/>
      <c r="M15" s="1" t="s">
        <v>98</v>
      </c>
      <c r="N15" s="1" t="s">
        <v>99</v>
      </c>
      <c r="O15" s="1" t="s">
        <v>14</v>
      </c>
      <c r="P15" s="10"/>
      <c r="Q15" s="11">
        <v>45814</v>
      </c>
      <c r="R15" s="1">
        <v>4</v>
      </c>
      <c r="S15" s="23" t="s">
        <v>154</v>
      </c>
      <c r="T15" t="s">
        <v>111</v>
      </c>
      <c r="U15" t="s">
        <v>99</v>
      </c>
      <c r="V15" s="3" t="s">
        <v>151</v>
      </c>
    </row>
    <row r="16" spans="1:22" x14ac:dyDescent="0.25">
      <c r="A16" s="2">
        <v>45931</v>
      </c>
      <c r="B16" t="s">
        <v>95</v>
      </c>
      <c r="C16" s="3" t="s">
        <v>138</v>
      </c>
      <c r="D16" s="1" t="s">
        <v>38</v>
      </c>
      <c r="E16" s="1" t="s">
        <v>155</v>
      </c>
      <c r="F16" s="1" t="s">
        <v>11</v>
      </c>
      <c r="G16" s="10"/>
      <c r="H16" s="1"/>
      <c r="I16" s="10"/>
      <c r="J16" s="10"/>
      <c r="K16" s="10"/>
      <c r="L16" s="10"/>
      <c r="M16" s="1" t="s">
        <v>140</v>
      </c>
      <c r="N16" s="1"/>
      <c r="O16" s="1" t="s">
        <v>12</v>
      </c>
      <c r="P16" s="10"/>
      <c r="Q16" s="11"/>
      <c r="R16" s="1">
        <v>0</v>
      </c>
      <c r="S16" s="23" t="s">
        <v>156</v>
      </c>
      <c r="T16" t="s">
        <v>31</v>
      </c>
      <c r="U16" t="s">
        <v>99</v>
      </c>
      <c r="V16" s="3" t="s">
        <v>142</v>
      </c>
    </row>
    <row r="17" spans="1:22" ht="75" x14ac:dyDescent="0.25">
      <c r="A17" s="2">
        <v>45931</v>
      </c>
      <c r="B17" t="s">
        <v>95</v>
      </c>
      <c r="C17" s="3" t="s">
        <v>138</v>
      </c>
      <c r="D17" s="1" t="s">
        <v>39</v>
      </c>
      <c r="E17" s="10" t="s">
        <v>157</v>
      </c>
      <c r="F17" s="1" t="s">
        <v>11</v>
      </c>
      <c r="G17" s="10"/>
      <c r="H17" s="1"/>
      <c r="I17" s="10"/>
      <c r="J17" s="10"/>
      <c r="K17" s="10"/>
      <c r="L17" s="10"/>
      <c r="M17" s="1" t="s">
        <v>140</v>
      </c>
      <c r="N17" s="1"/>
      <c r="O17" s="1" t="s">
        <v>12</v>
      </c>
      <c r="P17" s="10"/>
      <c r="Q17" s="11"/>
      <c r="R17" s="1">
        <v>0</v>
      </c>
      <c r="S17" s="23" t="s">
        <v>158</v>
      </c>
      <c r="T17" t="s">
        <v>31</v>
      </c>
      <c r="U17" t="s">
        <v>99</v>
      </c>
      <c r="V17" s="3" t="s">
        <v>142</v>
      </c>
    </row>
    <row r="18" spans="1:22" ht="195" x14ac:dyDescent="0.25">
      <c r="A18" s="2">
        <v>45931</v>
      </c>
      <c r="B18" t="s">
        <v>95</v>
      </c>
      <c r="C18" s="3" t="s">
        <v>138</v>
      </c>
      <c r="D18" s="1" t="s">
        <v>32</v>
      </c>
      <c r="E18" s="10" t="s">
        <v>159</v>
      </c>
      <c r="F18" s="1" t="s">
        <v>11</v>
      </c>
      <c r="G18" s="10"/>
      <c r="H18" s="1"/>
      <c r="I18" s="10"/>
      <c r="J18" s="10"/>
      <c r="K18" s="10"/>
      <c r="L18" s="10"/>
      <c r="M18" s="1" t="s">
        <v>140</v>
      </c>
      <c r="N18" s="1"/>
      <c r="O18" s="1" t="s">
        <v>12</v>
      </c>
      <c r="P18" s="10"/>
      <c r="Q18" s="11"/>
      <c r="R18" s="1">
        <v>0</v>
      </c>
      <c r="S18" s="23" t="s">
        <v>160</v>
      </c>
      <c r="T18" t="s">
        <v>31</v>
      </c>
      <c r="U18" t="s">
        <v>99</v>
      </c>
      <c r="V18" s="3" t="s">
        <v>142</v>
      </c>
    </row>
    <row r="19" spans="1:22" ht="90" x14ac:dyDescent="0.25">
      <c r="A19" s="2">
        <v>45931</v>
      </c>
      <c r="B19" t="s">
        <v>95</v>
      </c>
      <c r="C19" s="3" t="s">
        <v>138</v>
      </c>
      <c r="D19" s="1" t="s">
        <v>34</v>
      </c>
      <c r="E19" s="10" t="s">
        <v>161</v>
      </c>
      <c r="F19" s="1" t="s">
        <v>11</v>
      </c>
      <c r="G19" s="10"/>
      <c r="H19" s="1"/>
      <c r="I19" s="10"/>
      <c r="J19" s="10"/>
      <c r="K19" s="10"/>
      <c r="L19" s="10"/>
      <c r="M19" s="1" t="s">
        <v>140</v>
      </c>
      <c r="N19" s="1"/>
      <c r="O19" s="1" t="s">
        <v>12</v>
      </c>
      <c r="P19" s="10"/>
      <c r="Q19" s="11"/>
      <c r="R19" s="1">
        <v>0</v>
      </c>
      <c r="S19" s="23" t="s">
        <v>162</v>
      </c>
      <c r="T19" t="s">
        <v>31</v>
      </c>
      <c r="U19" t="s">
        <v>99</v>
      </c>
      <c r="V19" s="3" t="s">
        <v>142</v>
      </c>
    </row>
    <row r="20" spans="1:22" ht="135" x14ac:dyDescent="0.25">
      <c r="A20" s="2">
        <v>45931</v>
      </c>
      <c r="B20" t="s">
        <v>95</v>
      </c>
      <c r="C20" s="3" t="s">
        <v>138</v>
      </c>
      <c r="D20" s="1" t="s">
        <v>37</v>
      </c>
      <c r="E20" s="10" t="s">
        <v>163</v>
      </c>
      <c r="F20" s="1" t="s">
        <v>11</v>
      </c>
      <c r="G20" s="10"/>
      <c r="H20" s="1"/>
      <c r="I20" s="10"/>
      <c r="J20" s="10"/>
      <c r="K20" s="10"/>
      <c r="L20" s="10"/>
      <c r="M20" s="1" t="s">
        <v>140</v>
      </c>
      <c r="N20" s="1"/>
      <c r="O20" s="1" t="s">
        <v>12</v>
      </c>
      <c r="P20" s="10"/>
      <c r="Q20" s="11"/>
      <c r="R20" s="1">
        <v>0</v>
      </c>
      <c r="S20" s="23" t="s">
        <v>164</v>
      </c>
      <c r="T20" t="s">
        <v>31</v>
      </c>
      <c r="U20" t="s">
        <v>99</v>
      </c>
      <c r="V20" s="3" t="s">
        <v>142</v>
      </c>
    </row>
    <row r="21" spans="1:22" ht="120" x14ac:dyDescent="0.25">
      <c r="A21" s="2">
        <v>45931</v>
      </c>
      <c r="B21" t="s">
        <v>95</v>
      </c>
      <c r="C21" s="3" t="s">
        <v>138</v>
      </c>
      <c r="D21" s="1" t="s">
        <v>35</v>
      </c>
      <c r="E21" s="10" t="s">
        <v>165</v>
      </c>
      <c r="F21" s="1" t="s">
        <v>17</v>
      </c>
      <c r="G21" s="10"/>
      <c r="H21" s="1"/>
      <c r="I21" s="10"/>
      <c r="J21" s="10"/>
      <c r="K21" s="10"/>
      <c r="L21" s="10"/>
      <c r="M21" s="1" t="s">
        <v>140</v>
      </c>
      <c r="N21" s="1"/>
      <c r="O21" s="1" t="s">
        <v>12</v>
      </c>
      <c r="P21" s="10"/>
      <c r="Q21" s="11"/>
      <c r="R21" s="1">
        <v>0</v>
      </c>
      <c r="S21" s="23" t="s">
        <v>166</v>
      </c>
      <c r="T21" t="s">
        <v>31</v>
      </c>
      <c r="U21" t="s">
        <v>99</v>
      </c>
      <c r="V21" s="3" t="s">
        <v>142</v>
      </c>
    </row>
    <row r="22" spans="1:22" ht="180" x14ac:dyDescent="0.25">
      <c r="A22" s="2">
        <v>45682</v>
      </c>
      <c r="B22" s="2" t="s">
        <v>143</v>
      </c>
      <c r="C22" t="s">
        <v>167</v>
      </c>
      <c r="D22" s="1" t="s">
        <v>43</v>
      </c>
      <c r="E22" s="10" t="s">
        <v>168</v>
      </c>
      <c r="F22" s="1" t="s">
        <v>15</v>
      </c>
      <c r="G22" s="10"/>
      <c r="H22" s="1"/>
      <c r="I22" s="10"/>
      <c r="J22" s="10"/>
      <c r="K22" s="10"/>
      <c r="L22" s="10"/>
      <c r="M22" s="1" t="s">
        <v>98</v>
      </c>
      <c r="N22" s="1" t="s">
        <v>99</v>
      </c>
      <c r="O22" s="1" t="s">
        <v>14</v>
      </c>
      <c r="P22" s="10"/>
      <c r="Q22" s="11">
        <v>45734</v>
      </c>
      <c r="R22" s="1">
        <v>3</v>
      </c>
      <c r="S22" s="23" t="s">
        <v>169</v>
      </c>
      <c r="T22" t="s">
        <v>40</v>
      </c>
      <c r="U22" t="s">
        <v>99</v>
      </c>
      <c r="V22" s="3" t="s">
        <v>170</v>
      </c>
    </row>
    <row r="23" spans="1:22" ht="120" x14ac:dyDescent="0.25">
      <c r="A23" s="2">
        <v>45682</v>
      </c>
      <c r="B23" s="2" t="s">
        <v>143</v>
      </c>
      <c r="C23" t="s">
        <v>171</v>
      </c>
      <c r="D23" s="1" t="s">
        <v>42</v>
      </c>
      <c r="E23" s="10" t="s">
        <v>172</v>
      </c>
      <c r="F23" s="1" t="s">
        <v>17</v>
      </c>
      <c r="G23" s="10"/>
      <c r="H23" s="1"/>
      <c r="I23" s="10"/>
      <c r="J23" s="10"/>
      <c r="K23" s="10"/>
      <c r="L23" s="10"/>
      <c r="M23" s="1" t="s">
        <v>98</v>
      </c>
      <c r="N23" s="1" t="s">
        <v>99</v>
      </c>
      <c r="O23" s="1" t="s">
        <v>14</v>
      </c>
      <c r="P23" s="10"/>
      <c r="Q23" s="11">
        <v>45821</v>
      </c>
      <c r="R23" s="1">
        <v>6</v>
      </c>
      <c r="S23" s="23" t="s">
        <v>173</v>
      </c>
      <c r="T23" t="s">
        <v>40</v>
      </c>
      <c r="U23" t="s">
        <v>99</v>
      </c>
      <c r="V23" s="3" t="s">
        <v>174</v>
      </c>
    </row>
    <row r="24" spans="1:22" x14ac:dyDescent="0.25">
      <c r="A24" s="2">
        <v>45682</v>
      </c>
      <c r="B24" s="2" t="s">
        <v>143</v>
      </c>
      <c r="C24" t="s">
        <v>175</v>
      </c>
      <c r="D24" s="1" t="s">
        <v>45</v>
      </c>
      <c r="E24" s="1"/>
      <c r="F24" s="1" t="s">
        <v>17</v>
      </c>
      <c r="G24" s="10"/>
      <c r="H24" s="1"/>
      <c r="I24" s="10"/>
      <c r="J24" s="10"/>
      <c r="K24" s="10"/>
      <c r="L24" s="10"/>
      <c r="M24" s="1" t="s">
        <v>98</v>
      </c>
      <c r="N24" s="1" t="s">
        <v>99</v>
      </c>
      <c r="O24" s="1" t="s">
        <v>14</v>
      </c>
      <c r="P24" s="10"/>
      <c r="Q24" s="11"/>
      <c r="R24" s="1">
        <v>1</v>
      </c>
      <c r="S24" s="23" t="s">
        <v>176</v>
      </c>
      <c r="T24" t="s">
        <v>40</v>
      </c>
      <c r="U24" t="s">
        <v>99</v>
      </c>
      <c r="V24" s="3" t="s">
        <v>177</v>
      </c>
    </row>
    <row r="25" spans="1:22" x14ac:dyDescent="0.25">
      <c r="A25" s="2">
        <v>45558</v>
      </c>
      <c r="B25" t="s">
        <v>95</v>
      </c>
      <c r="C25" t="s">
        <v>151</v>
      </c>
      <c r="D25" s="1" t="s">
        <v>178</v>
      </c>
      <c r="E25" s="1" t="s">
        <v>179</v>
      </c>
      <c r="F25" s="1" t="s">
        <v>17</v>
      </c>
      <c r="G25" s="10"/>
      <c r="H25" s="1"/>
      <c r="I25" s="10"/>
      <c r="J25" s="10"/>
      <c r="K25" s="10"/>
      <c r="L25" s="10"/>
      <c r="M25" s="1" t="s">
        <v>98</v>
      </c>
      <c r="N25" s="1" t="s">
        <v>99</v>
      </c>
      <c r="O25" s="1" t="s">
        <v>14</v>
      </c>
      <c r="P25" s="10"/>
      <c r="Q25" s="11"/>
      <c r="R25" s="1">
        <v>2</v>
      </c>
      <c r="S25" s="23" t="s">
        <v>180</v>
      </c>
      <c r="T25" t="s">
        <v>111</v>
      </c>
      <c r="U25" t="s">
        <v>99</v>
      </c>
      <c r="V25" s="3" t="s">
        <v>151</v>
      </c>
    </row>
    <row r="26" spans="1:22" ht="45" x14ac:dyDescent="0.25">
      <c r="A26" s="2">
        <v>45558</v>
      </c>
      <c r="B26" t="s">
        <v>95</v>
      </c>
      <c r="C26" t="s">
        <v>130</v>
      </c>
      <c r="D26" s="1" t="s">
        <v>181</v>
      </c>
      <c r="E26" s="10" t="s">
        <v>179</v>
      </c>
      <c r="F26" s="1" t="s">
        <v>17</v>
      </c>
      <c r="G26" s="10"/>
      <c r="H26" s="1"/>
      <c r="I26" s="10"/>
      <c r="J26" s="10"/>
      <c r="K26" s="10"/>
      <c r="L26" s="10"/>
      <c r="M26" s="1" t="s">
        <v>98</v>
      </c>
      <c r="N26" s="10" t="s">
        <v>99</v>
      </c>
      <c r="O26" s="1" t="s">
        <v>14</v>
      </c>
      <c r="P26" s="10"/>
      <c r="Q26" s="11"/>
      <c r="R26" s="1">
        <v>4</v>
      </c>
      <c r="S26" s="23" t="s">
        <v>182</v>
      </c>
      <c r="T26" t="s">
        <v>111</v>
      </c>
      <c r="U26" t="s">
        <v>99</v>
      </c>
      <c r="V26" s="3" t="s">
        <v>134</v>
      </c>
    </row>
    <row r="27" spans="1:22" x14ac:dyDescent="0.25">
      <c r="A27" s="2">
        <v>45727</v>
      </c>
      <c r="B27" t="s">
        <v>143</v>
      </c>
      <c r="C27" t="s">
        <v>183</v>
      </c>
      <c r="D27" s="12" t="s">
        <v>47</v>
      </c>
      <c r="E27" s="1"/>
      <c r="F27" s="1" t="s">
        <v>11</v>
      </c>
      <c r="G27" s="10"/>
      <c r="H27" s="1"/>
      <c r="I27" s="10"/>
      <c r="J27" s="10"/>
      <c r="K27" s="10"/>
      <c r="L27" s="10"/>
      <c r="M27" s="1" t="s">
        <v>98</v>
      </c>
      <c r="N27" s="1" t="s">
        <v>99</v>
      </c>
      <c r="O27" s="1" t="s">
        <v>14</v>
      </c>
      <c r="P27" s="10"/>
      <c r="Q27" s="11">
        <v>45875</v>
      </c>
      <c r="R27" s="1">
        <v>2</v>
      </c>
      <c r="S27" s="23" t="s">
        <v>184</v>
      </c>
      <c r="T27" t="s">
        <v>46</v>
      </c>
      <c r="U27" t="s">
        <v>99</v>
      </c>
      <c r="V27" s="3"/>
    </row>
    <row r="28" spans="1:22" x14ac:dyDescent="0.25">
      <c r="A28" s="2">
        <v>45352</v>
      </c>
      <c r="B28" s="2" t="s">
        <v>95</v>
      </c>
      <c r="C28" t="s">
        <v>183</v>
      </c>
      <c r="D28" s="1" t="s">
        <v>185</v>
      </c>
      <c r="E28" s="1"/>
      <c r="F28" s="1" t="s">
        <v>15</v>
      </c>
      <c r="G28" s="10"/>
      <c r="H28" s="1" t="s">
        <v>186</v>
      </c>
      <c r="I28" s="10"/>
      <c r="J28" s="10"/>
      <c r="K28" s="10"/>
      <c r="L28" s="10"/>
      <c r="M28" s="1" t="s">
        <v>104</v>
      </c>
      <c r="N28" s="1"/>
      <c r="O28" s="1" t="s">
        <v>12</v>
      </c>
      <c r="P28" s="10"/>
      <c r="Q28" s="11"/>
      <c r="R28" s="1">
        <v>0</v>
      </c>
      <c r="S28"/>
      <c r="T28" t="s">
        <v>187</v>
      </c>
      <c r="U28" t="s">
        <v>188</v>
      </c>
      <c r="V28" s="3" t="s">
        <v>183</v>
      </c>
    </row>
    <row r="29" spans="1:22" ht="60" x14ac:dyDescent="0.25">
      <c r="A29" s="2">
        <v>45558</v>
      </c>
      <c r="B29" t="s">
        <v>95</v>
      </c>
      <c r="C29" t="s">
        <v>189</v>
      </c>
      <c r="D29" s="7" t="s">
        <v>190</v>
      </c>
      <c r="E29" s="25" t="s">
        <v>191</v>
      </c>
      <c r="F29" s="1" t="s">
        <v>11</v>
      </c>
      <c r="G29" s="10"/>
      <c r="H29" s="1"/>
      <c r="I29" s="10"/>
      <c r="J29" s="10"/>
      <c r="K29" s="10"/>
      <c r="L29" s="10"/>
      <c r="M29" s="1" t="s">
        <v>104</v>
      </c>
      <c r="N29" s="1" t="s">
        <v>99</v>
      </c>
      <c r="O29" s="1" t="s">
        <v>12</v>
      </c>
      <c r="P29" s="10"/>
      <c r="Q29" s="11"/>
      <c r="R29" s="1">
        <v>1</v>
      </c>
      <c r="S29" s="23" t="s">
        <v>192</v>
      </c>
      <c r="T29" t="s">
        <v>111</v>
      </c>
      <c r="U29" t="s">
        <v>99</v>
      </c>
      <c r="V29" t="s">
        <v>189</v>
      </c>
    </row>
    <row r="30" spans="1:22" x14ac:dyDescent="0.25">
      <c r="B30" t="s">
        <v>95</v>
      </c>
      <c r="D30" s="1" t="s">
        <v>193</v>
      </c>
      <c r="E30" s="1"/>
      <c r="F30" s="1" t="s">
        <v>17</v>
      </c>
      <c r="G30" s="10"/>
      <c r="H30" s="1"/>
      <c r="I30" s="10"/>
      <c r="J30" s="10"/>
      <c r="K30" s="10"/>
      <c r="L30" s="10"/>
      <c r="M30" s="1" t="s">
        <v>104</v>
      </c>
      <c r="N30" s="1" t="s">
        <v>99</v>
      </c>
      <c r="O30" s="1" t="s">
        <v>12</v>
      </c>
      <c r="P30" s="10"/>
      <c r="Q30" s="11"/>
      <c r="R30" s="1">
        <v>2</v>
      </c>
      <c r="S30"/>
      <c r="T30" t="s">
        <v>194</v>
      </c>
      <c r="U30"/>
      <c r="V30" s="3"/>
    </row>
    <row r="31" spans="1:22" x14ac:dyDescent="0.25">
      <c r="A31" s="2">
        <v>45352</v>
      </c>
      <c r="B31" s="2" t="s">
        <v>95</v>
      </c>
      <c r="C31" t="s">
        <v>183</v>
      </c>
      <c r="D31" s="1" t="s">
        <v>195</v>
      </c>
      <c r="E31" s="1"/>
      <c r="F31" s="1" t="s">
        <v>17</v>
      </c>
      <c r="G31" s="10"/>
      <c r="H31" s="1" t="s">
        <v>196</v>
      </c>
      <c r="I31" s="10"/>
      <c r="J31" s="10"/>
      <c r="K31" s="10"/>
      <c r="L31" s="10"/>
      <c r="M31" s="1" t="s">
        <v>104</v>
      </c>
      <c r="N31" s="1"/>
      <c r="O31" s="1" t="s">
        <v>12</v>
      </c>
      <c r="P31" s="10"/>
      <c r="Q31" s="11"/>
      <c r="R31" s="1">
        <v>0</v>
      </c>
      <c r="S31"/>
      <c r="T31" t="s">
        <v>187</v>
      </c>
      <c r="U31" t="s">
        <v>188</v>
      </c>
      <c r="V31" s="3" t="s">
        <v>183</v>
      </c>
    </row>
    <row r="32" spans="1:22" x14ac:dyDescent="0.25">
      <c r="A32" s="2">
        <v>45352</v>
      </c>
      <c r="B32" s="2" t="s">
        <v>95</v>
      </c>
      <c r="C32" t="s">
        <v>183</v>
      </c>
      <c r="D32" s="1" t="s">
        <v>197</v>
      </c>
      <c r="E32" s="1"/>
      <c r="F32" s="1" t="s">
        <v>198</v>
      </c>
      <c r="G32" s="10"/>
      <c r="H32" s="1" t="s">
        <v>196</v>
      </c>
      <c r="I32" s="10"/>
      <c r="J32" s="10"/>
      <c r="K32" s="10"/>
      <c r="L32" s="10"/>
      <c r="M32" s="1" t="s">
        <v>104</v>
      </c>
      <c r="N32" s="1"/>
      <c r="O32" s="1" t="s">
        <v>12</v>
      </c>
      <c r="P32" s="10"/>
      <c r="Q32" s="11"/>
      <c r="R32" s="1">
        <v>0</v>
      </c>
      <c r="S32"/>
      <c r="T32" t="s">
        <v>187</v>
      </c>
      <c r="U32" t="s">
        <v>188</v>
      </c>
      <c r="V32" s="3" t="s">
        <v>183</v>
      </c>
    </row>
    <row r="33" spans="1:22" x14ac:dyDescent="0.25">
      <c r="A33" s="2">
        <v>45558</v>
      </c>
      <c r="B33" t="s">
        <v>95</v>
      </c>
      <c r="C33" t="s">
        <v>151</v>
      </c>
      <c r="D33" s="1" t="s">
        <v>199</v>
      </c>
      <c r="E33" s="1" t="s">
        <v>200</v>
      </c>
      <c r="F33" s="1" t="s">
        <v>17</v>
      </c>
      <c r="G33" s="10"/>
      <c r="H33" s="1"/>
      <c r="I33" s="10"/>
      <c r="J33" s="10"/>
      <c r="K33" s="10"/>
      <c r="L33" s="10"/>
      <c r="M33" s="1" t="s">
        <v>104</v>
      </c>
      <c r="N33" s="1" t="s">
        <v>99</v>
      </c>
      <c r="O33" s="1" t="s">
        <v>12</v>
      </c>
      <c r="P33" s="10"/>
      <c r="Q33" s="11"/>
      <c r="R33" s="1">
        <v>0</v>
      </c>
      <c r="S33" s="23" t="s">
        <v>201</v>
      </c>
      <c r="T33" t="s">
        <v>111</v>
      </c>
      <c r="U33" t="s">
        <v>99</v>
      </c>
      <c r="V33" s="3" t="s">
        <v>183</v>
      </c>
    </row>
    <row r="34" spans="1:22" ht="30" x14ac:dyDescent="0.25">
      <c r="A34" s="2">
        <v>45558</v>
      </c>
      <c r="B34" t="s">
        <v>95</v>
      </c>
      <c r="C34" t="s">
        <v>130</v>
      </c>
      <c r="D34" s="1" t="s">
        <v>202</v>
      </c>
      <c r="E34" s="10" t="s">
        <v>124</v>
      </c>
      <c r="F34" s="1" t="s">
        <v>17</v>
      </c>
      <c r="G34" s="10"/>
      <c r="H34" s="1"/>
      <c r="I34" s="10"/>
      <c r="J34" s="10"/>
      <c r="K34" s="10"/>
      <c r="L34" s="10"/>
      <c r="M34" s="1" t="s">
        <v>98</v>
      </c>
      <c r="N34" s="10" t="s">
        <v>99</v>
      </c>
      <c r="O34" s="1" t="s">
        <v>14</v>
      </c>
      <c r="P34" s="10"/>
      <c r="Q34" s="11"/>
      <c r="R34" s="1">
        <v>2</v>
      </c>
      <c r="S34" s="23" t="s">
        <v>203</v>
      </c>
      <c r="T34" t="s">
        <v>111</v>
      </c>
      <c r="U34" t="s">
        <v>99</v>
      </c>
      <c r="V34" s="3" t="s">
        <v>134</v>
      </c>
    </row>
    <row r="35" spans="1:22" x14ac:dyDescent="0.25">
      <c r="A35" s="2">
        <v>45727</v>
      </c>
      <c r="B35" t="s">
        <v>143</v>
      </c>
      <c r="C35" t="s">
        <v>183</v>
      </c>
      <c r="D35" s="1" t="s">
        <v>56</v>
      </c>
      <c r="E35" s="1" t="s">
        <v>120</v>
      </c>
      <c r="F35" s="1" t="s">
        <v>17</v>
      </c>
      <c r="G35" s="10"/>
      <c r="H35" s="1"/>
      <c r="I35" s="10"/>
      <c r="J35" s="10"/>
      <c r="K35" s="10"/>
      <c r="L35" s="10"/>
      <c r="M35" s="1" t="s">
        <v>104</v>
      </c>
      <c r="N35" s="1" t="s">
        <v>99</v>
      </c>
      <c r="O35" s="1" t="s">
        <v>12</v>
      </c>
      <c r="P35" s="10"/>
      <c r="Q35" s="11"/>
      <c r="R35" s="1">
        <v>2</v>
      </c>
      <c r="S35" s="23" t="s">
        <v>204</v>
      </c>
      <c r="T35" t="s">
        <v>46</v>
      </c>
      <c r="U35" t="s">
        <v>99</v>
      </c>
      <c r="V35" s="3" t="s">
        <v>183</v>
      </c>
    </row>
    <row r="36" spans="1:22" x14ac:dyDescent="0.25">
      <c r="A36" s="2">
        <v>45727</v>
      </c>
      <c r="B36" t="s">
        <v>143</v>
      </c>
      <c r="C36" t="s">
        <v>183</v>
      </c>
      <c r="D36" s="8" t="s">
        <v>53</v>
      </c>
      <c r="E36" s="8"/>
      <c r="F36" s="1" t="s">
        <v>11</v>
      </c>
      <c r="G36" s="10"/>
      <c r="H36" s="1"/>
      <c r="I36" s="10"/>
      <c r="J36" s="10"/>
      <c r="K36" s="10"/>
      <c r="L36" s="10"/>
      <c r="M36" s="1" t="s">
        <v>104</v>
      </c>
      <c r="N36" s="1" t="s">
        <v>99</v>
      </c>
      <c r="O36" s="1" t="s">
        <v>12</v>
      </c>
      <c r="P36" s="10"/>
      <c r="Q36" s="11"/>
      <c r="R36" s="1">
        <v>0</v>
      </c>
      <c r="S36" s="23" t="s">
        <v>205</v>
      </c>
      <c r="T36" t="s">
        <v>46</v>
      </c>
      <c r="U36"/>
      <c r="V36" s="3"/>
    </row>
    <row r="37" spans="1:22" x14ac:dyDescent="0.25">
      <c r="A37" s="2">
        <v>45558</v>
      </c>
      <c r="B37" t="s">
        <v>95</v>
      </c>
      <c r="C37" t="s">
        <v>183</v>
      </c>
      <c r="D37" s="1" t="s">
        <v>206</v>
      </c>
      <c r="E37" s="1" t="s">
        <v>124</v>
      </c>
      <c r="F37" s="1" t="s">
        <v>198</v>
      </c>
      <c r="G37" s="10"/>
      <c r="I37" s="3"/>
      <c r="J37" s="10"/>
      <c r="K37" s="10"/>
      <c r="L37" s="10"/>
      <c r="M37" s="1" t="s">
        <v>98</v>
      </c>
      <c r="N37" s="1" t="s">
        <v>99</v>
      </c>
      <c r="O37" s="1" t="s">
        <v>14</v>
      </c>
      <c r="P37" s="10"/>
      <c r="Q37" s="11"/>
      <c r="R37" s="1">
        <v>1</v>
      </c>
      <c r="S37" s="23" t="s">
        <v>207</v>
      </c>
      <c r="T37" t="s">
        <v>111</v>
      </c>
      <c r="U37" t="s">
        <v>99</v>
      </c>
      <c r="V37" s="3" t="s">
        <v>183</v>
      </c>
    </row>
    <row r="38" spans="1:22" ht="90" x14ac:dyDescent="0.25">
      <c r="A38" s="2">
        <v>45505</v>
      </c>
      <c r="B38" t="s">
        <v>208</v>
      </c>
      <c r="C38" t="s">
        <v>209</v>
      </c>
      <c r="D38" s="1" t="s">
        <v>210</v>
      </c>
      <c r="E38" s="10" t="s">
        <v>211</v>
      </c>
      <c r="F38" s="1" t="s">
        <v>15</v>
      </c>
      <c r="G38" s="10"/>
      <c r="H38" s="1"/>
      <c r="I38" s="10"/>
      <c r="J38" s="10"/>
      <c r="K38" s="10"/>
      <c r="L38" s="10"/>
      <c r="M38" s="1" t="s">
        <v>98</v>
      </c>
      <c r="N38" s="1" t="s">
        <v>99</v>
      </c>
      <c r="O38" s="1" t="s">
        <v>14</v>
      </c>
      <c r="P38" s="10"/>
      <c r="Q38" s="11">
        <v>45785</v>
      </c>
      <c r="R38" s="1">
        <v>2</v>
      </c>
      <c r="S38" t="s">
        <v>212</v>
      </c>
      <c r="T38" t="s">
        <v>213</v>
      </c>
      <c r="U38" t="s">
        <v>99</v>
      </c>
      <c r="V38" s="3"/>
    </row>
    <row r="39" spans="1:22" x14ac:dyDescent="0.25">
      <c r="A39" s="2">
        <v>45727</v>
      </c>
      <c r="B39" t="s">
        <v>143</v>
      </c>
      <c r="C39" t="s">
        <v>183</v>
      </c>
      <c r="D39" s="1" t="s">
        <v>54</v>
      </c>
      <c r="E39" s="1"/>
      <c r="F39" s="1" t="s">
        <v>17</v>
      </c>
      <c r="G39" s="10"/>
      <c r="H39" s="1"/>
      <c r="I39" s="10"/>
      <c r="J39" s="10"/>
      <c r="K39" s="10"/>
      <c r="L39" s="10"/>
      <c r="M39" s="1" t="s">
        <v>104</v>
      </c>
      <c r="N39" s="1" t="s">
        <v>99</v>
      </c>
      <c r="O39" s="1" t="s">
        <v>12</v>
      </c>
      <c r="P39" s="10"/>
      <c r="Q39" s="11"/>
      <c r="R39" s="1">
        <v>0</v>
      </c>
      <c r="S39" s="23" t="s">
        <v>214</v>
      </c>
      <c r="T39" t="s">
        <v>46</v>
      </c>
      <c r="U39" t="s">
        <v>99</v>
      </c>
      <c r="V39" s="3"/>
    </row>
    <row r="40" spans="1:22" ht="90" x14ac:dyDescent="0.25">
      <c r="A40" s="2">
        <v>45727</v>
      </c>
      <c r="B40" t="s">
        <v>143</v>
      </c>
      <c r="C40" t="s">
        <v>183</v>
      </c>
      <c r="D40" s="1" t="s">
        <v>52</v>
      </c>
      <c r="E40" s="1"/>
      <c r="F40" s="1" t="s">
        <v>15</v>
      </c>
      <c r="G40" s="10"/>
      <c r="H40" s="1"/>
      <c r="I40" s="10"/>
      <c r="J40" s="10"/>
      <c r="K40" s="13">
        <v>45839</v>
      </c>
      <c r="L40" s="10"/>
      <c r="M40" s="1" t="s">
        <v>98</v>
      </c>
      <c r="N40" s="1" t="s">
        <v>99</v>
      </c>
      <c r="O40" s="1" t="s">
        <v>14</v>
      </c>
      <c r="P40" s="10" t="s">
        <v>215</v>
      </c>
      <c r="Q40" s="11">
        <v>45889</v>
      </c>
      <c r="R40" s="1">
        <v>3</v>
      </c>
      <c r="S40" s="23" t="s">
        <v>216</v>
      </c>
      <c r="T40" t="s">
        <v>46</v>
      </c>
      <c r="U40" t="s">
        <v>99</v>
      </c>
      <c r="V40" s="3"/>
    </row>
    <row r="41" spans="1:22" x14ac:dyDescent="0.25">
      <c r="B41" t="s">
        <v>217</v>
      </c>
      <c r="D41" s="1" t="s">
        <v>218</v>
      </c>
      <c r="E41" s="1"/>
      <c r="F41" s="1" t="s">
        <v>17</v>
      </c>
      <c r="G41" s="10"/>
      <c r="H41" s="1"/>
      <c r="I41" s="10"/>
      <c r="J41" s="10" t="s">
        <v>219</v>
      </c>
      <c r="K41" s="10"/>
      <c r="L41" s="10"/>
      <c r="M41" s="1" t="s">
        <v>98</v>
      </c>
      <c r="N41" s="1" t="s">
        <v>99</v>
      </c>
      <c r="O41" s="1" t="s">
        <v>14</v>
      </c>
      <c r="P41" s="10"/>
      <c r="Q41" s="11"/>
      <c r="R41" s="1">
        <v>1</v>
      </c>
      <c r="S41"/>
      <c r="T41" t="s">
        <v>194</v>
      </c>
      <c r="U41"/>
      <c r="V41" s="3"/>
    </row>
    <row r="42" spans="1:22" ht="30" x14ac:dyDescent="0.25">
      <c r="A42" s="2">
        <v>45597</v>
      </c>
      <c r="B42" t="s">
        <v>217</v>
      </c>
      <c r="C42" t="s">
        <v>220</v>
      </c>
      <c r="D42" s="1" t="s">
        <v>221</v>
      </c>
      <c r="E42" s="1"/>
      <c r="F42" s="1" t="s">
        <v>17</v>
      </c>
      <c r="G42" s="10"/>
      <c r="H42" s="1"/>
      <c r="I42" s="10"/>
      <c r="J42" s="10" t="s">
        <v>219</v>
      </c>
      <c r="K42" s="13">
        <v>45717</v>
      </c>
      <c r="L42" s="10"/>
      <c r="M42" s="1" t="s">
        <v>98</v>
      </c>
      <c r="N42" s="1" t="s">
        <v>99</v>
      </c>
      <c r="O42" s="1" t="s">
        <v>14</v>
      </c>
      <c r="P42" s="10"/>
      <c r="Q42" s="11">
        <v>45741</v>
      </c>
      <c r="R42" s="1">
        <v>2</v>
      </c>
      <c r="S42"/>
      <c r="T42" s="3" t="s">
        <v>222</v>
      </c>
      <c r="U42" t="s">
        <v>99</v>
      </c>
      <c r="V42" s="3"/>
    </row>
    <row r="43" spans="1:22" ht="120" x14ac:dyDescent="0.25">
      <c r="A43" s="2">
        <v>45558</v>
      </c>
      <c r="B43" t="s">
        <v>95</v>
      </c>
      <c r="C43" t="s">
        <v>223</v>
      </c>
      <c r="D43" s="1" t="s">
        <v>224</v>
      </c>
      <c r="E43" s="10" t="s">
        <v>225</v>
      </c>
      <c r="F43" s="1" t="s">
        <v>11</v>
      </c>
      <c r="G43" s="10"/>
      <c r="H43" s="1"/>
      <c r="I43" s="10"/>
      <c r="J43" s="10"/>
      <c r="K43" s="10"/>
      <c r="L43" s="10"/>
      <c r="M43" s="1" t="s">
        <v>98</v>
      </c>
      <c r="N43" s="1" t="s">
        <v>99</v>
      </c>
      <c r="O43" s="1" t="s">
        <v>14</v>
      </c>
      <c r="P43" s="10"/>
      <c r="Q43" s="11"/>
      <c r="R43" s="1">
        <v>1</v>
      </c>
      <c r="S43" s="23" t="s">
        <v>226</v>
      </c>
      <c r="T43" t="s">
        <v>111</v>
      </c>
      <c r="U43" t="s">
        <v>99</v>
      </c>
      <c r="V43" s="3" t="s">
        <v>227</v>
      </c>
    </row>
    <row r="44" spans="1:22" ht="30" x14ac:dyDescent="0.25">
      <c r="A44" s="2">
        <v>45597</v>
      </c>
      <c r="B44" t="s">
        <v>217</v>
      </c>
      <c r="C44" t="s">
        <v>220</v>
      </c>
      <c r="D44" s="1" t="s">
        <v>228</v>
      </c>
      <c r="E44" s="1"/>
      <c r="F44" s="1" t="s">
        <v>17</v>
      </c>
      <c r="G44" s="10"/>
      <c r="H44" s="1"/>
      <c r="I44" s="10"/>
      <c r="J44" s="10"/>
      <c r="K44" s="10"/>
      <c r="L44" s="10"/>
      <c r="M44" s="1" t="s">
        <v>98</v>
      </c>
      <c r="N44" s="1" t="s">
        <v>99</v>
      </c>
      <c r="O44" s="1" t="s">
        <v>14</v>
      </c>
      <c r="P44" s="10"/>
      <c r="Q44" s="11"/>
      <c r="R44" s="1">
        <v>1</v>
      </c>
      <c r="S44"/>
      <c r="T44" s="3" t="s">
        <v>222</v>
      </c>
      <c r="U44" t="s">
        <v>99</v>
      </c>
      <c r="V44" s="3" t="s">
        <v>229</v>
      </c>
    </row>
    <row r="45" spans="1:22" ht="45" x14ac:dyDescent="0.25">
      <c r="A45" s="2">
        <v>45558</v>
      </c>
      <c r="B45" t="s">
        <v>95</v>
      </c>
      <c r="C45" t="s">
        <v>230</v>
      </c>
      <c r="D45" s="1" t="s">
        <v>231</v>
      </c>
      <c r="E45" s="10" t="s">
        <v>232</v>
      </c>
      <c r="F45" s="1" t="s">
        <v>11</v>
      </c>
      <c r="G45" s="10"/>
      <c r="H45" s="1"/>
      <c r="I45" s="10"/>
      <c r="J45" s="10"/>
      <c r="K45" s="10"/>
      <c r="L45" s="10"/>
      <c r="M45" s="1" t="s">
        <v>104</v>
      </c>
      <c r="N45" s="1" t="s">
        <v>99</v>
      </c>
      <c r="O45" s="1" t="s">
        <v>12</v>
      </c>
      <c r="P45" s="10"/>
      <c r="Q45" s="11"/>
      <c r="R45" s="1">
        <v>0</v>
      </c>
      <c r="S45" s="23" t="s">
        <v>233</v>
      </c>
      <c r="T45" t="s">
        <v>111</v>
      </c>
      <c r="U45" t="s">
        <v>99</v>
      </c>
      <c r="V45" s="3" t="s">
        <v>230</v>
      </c>
    </row>
    <row r="46" spans="1:22" ht="30" x14ac:dyDescent="0.25">
      <c r="A46" s="2">
        <v>45597</v>
      </c>
      <c r="B46" t="s">
        <v>217</v>
      </c>
      <c r="C46" t="s">
        <v>220</v>
      </c>
      <c r="D46" s="1" t="s">
        <v>234</v>
      </c>
      <c r="E46" s="1"/>
      <c r="F46" s="1" t="s">
        <v>17</v>
      </c>
      <c r="G46" s="10"/>
      <c r="H46" s="1"/>
      <c r="I46" s="10"/>
      <c r="J46" s="10"/>
      <c r="K46" s="10"/>
      <c r="L46" s="10"/>
      <c r="M46" s="1" t="s">
        <v>98</v>
      </c>
      <c r="N46" s="1" t="s">
        <v>99</v>
      </c>
      <c r="O46" s="1" t="s">
        <v>14</v>
      </c>
      <c r="P46" s="10"/>
      <c r="Q46" s="11"/>
      <c r="R46" s="1">
        <v>1</v>
      </c>
      <c r="S46"/>
      <c r="T46" s="3" t="s">
        <v>222</v>
      </c>
      <c r="U46" t="s">
        <v>99</v>
      </c>
      <c r="V46" s="3"/>
    </row>
    <row r="47" spans="1:22" ht="30" x14ac:dyDescent="0.25">
      <c r="A47" s="2">
        <v>45597</v>
      </c>
      <c r="B47" t="s">
        <v>217</v>
      </c>
      <c r="C47" t="s">
        <v>220</v>
      </c>
      <c r="D47" s="1" t="s">
        <v>235</v>
      </c>
      <c r="E47" s="1"/>
      <c r="F47" s="1" t="s">
        <v>198</v>
      </c>
      <c r="G47" s="10"/>
      <c r="H47" s="1"/>
      <c r="I47" s="10"/>
      <c r="J47" s="10"/>
      <c r="K47" s="10"/>
      <c r="L47" s="10"/>
      <c r="M47" s="1" t="s">
        <v>98</v>
      </c>
      <c r="N47" s="1" t="s">
        <v>99</v>
      </c>
      <c r="O47" s="1" t="s">
        <v>14</v>
      </c>
      <c r="P47" s="10"/>
      <c r="Q47" s="11"/>
      <c r="R47" s="1">
        <v>1</v>
      </c>
      <c r="S47"/>
      <c r="T47" s="3" t="s">
        <v>222</v>
      </c>
      <c r="U47" t="s">
        <v>99</v>
      </c>
      <c r="V47" s="3"/>
    </row>
    <row r="48" spans="1:22" ht="30" x14ac:dyDescent="0.25">
      <c r="A48" s="2">
        <v>45597</v>
      </c>
      <c r="B48" t="s">
        <v>217</v>
      </c>
      <c r="C48" t="s">
        <v>220</v>
      </c>
      <c r="D48" s="1" t="s">
        <v>236</v>
      </c>
      <c r="E48" s="1"/>
      <c r="F48" s="1" t="s">
        <v>17</v>
      </c>
      <c r="G48" s="10"/>
      <c r="H48" s="1"/>
      <c r="I48" s="10"/>
      <c r="J48" s="10"/>
      <c r="K48" s="10"/>
      <c r="L48" s="10"/>
      <c r="M48" s="1" t="s">
        <v>98</v>
      </c>
      <c r="N48" s="1" t="s">
        <v>99</v>
      </c>
      <c r="O48" s="1" t="s">
        <v>14</v>
      </c>
      <c r="P48" s="10"/>
      <c r="Q48" s="11"/>
      <c r="R48" s="1">
        <v>1</v>
      </c>
      <c r="S48"/>
      <c r="T48" s="3" t="s">
        <v>222</v>
      </c>
      <c r="U48" t="s">
        <v>99</v>
      </c>
      <c r="V48" s="3"/>
    </row>
    <row r="49" spans="1:23" ht="30" x14ac:dyDescent="0.25">
      <c r="A49" s="2">
        <v>45597</v>
      </c>
      <c r="B49" t="s">
        <v>217</v>
      </c>
      <c r="C49" t="s">
        <v>220</v>
      </c>
      <c r="D49" s="1" t="s">
        <v>237</v>
      </c>
      <c r="E49" s="1"/>
      <c r="F49" s="1" t="s">
        <v>17</v>
      </c>
      <c r="G49" s="10"/>
      <c r="H49" s="1"/>
      <c r="I49" s="10"/>
      <c r="J49" s="10"/>
      <c r="K49" s="10"/>
      <c r="L49" s="10"/>
      <c r="M49" s="1" t="s">
        <v>98</v>
      </c>
      <c r="N49" s="1" t="s">
        <v>99</v>
      </c>
      <c r="O49" s="1" t="s">
        <v>14</v>
      </c>
      <c r="P49" s="10"/>
      <c r="Q49" s="11"/>
      <c r="R49" s="1">
        <v>2</v>
      </c>
      <c r="S49"/>
      <c r="T49" s="3" t="s">
        <v>222</v>
      </c>
      <c r="U49" t="s">
        <v>99</v>
      </c>
      <c r="V49" s="3"/>
    </row>
    <row r="50" spans="1:23" ht="30" x14ac:dyDescent="0.25">
      <c r="A50" s="2">
        <v>45597</v>
      </c>
      <c r="B50" t="s">
        <v>217</v>
      </c>
      <c r="C50" t="s">
        <v>220</v>
      </c>
      <c r="D50" s="1" t="s">
        <v>238</v>
      </c>
      <c r="E50" s="1"/>
      <c r="F50" s="1" t="s">
        <v>17</v>
      </c>
      <c r="G50" s="10"/>
      <c r="H50" s="1"/>
      <c r="I50" s="10"/>
      <c r="J50" s="10"/>
      <c r="K50" s="10"/>
      <c r="L50" s="10"/>
      <c r="M50" s="1" t="s">
        <v>98</v>
      </c>
      <c r="N50" s="1" t="s">
        <v>99</v>
      </c>
      <c r="O50" s="1" t="s">
        <v>14</v>
      </c>
      <c r="P50" s="10"/>
      <c r="Q50" s="11"/>
      <c r="R50" s="1">
        <v>1</v>
      </c>
      <c r="S50"/>
      <c r="T50" s="3" t="s">
        <v>222</v>
      </c>
      <c r="U50" t="s">
        <v>99</v>
      </c>
      <c r="V50" s="3"/>
    </row>
    <row r="51" spans="1:23" ht="60" x14ac:dyDescent="0.25">
      <c r="A51" s="2">
        <v>45457</v>
      </c>
      <c r="B51" s="2"/>
      <c r="C51" t="s">
        <v>239</v>
      </c>
      <c r="D51" s="1" t="s">
        <v>240</v>
      </c>
      <c r="E51" s="1"/>
      <c r="F51" s="1" t="s">
        <v>15</v>
      </c>
      <c r="G51" s="10"/>
      <c r="H51" s="1"/>
      <c r="I51" s="10"/>
      <c r="J51" s="10"/>
      <c r="K51" s="13">
        <v>45849</v>
      </c>
      <c r="L51" s="10" t="s">
        <v>241</v>
      </c>
      <c r="M51" s="1" t="s">
        <v>104</v>
      </c>
      <c r="N51" s="1"/>
      <c r="O51" s="1" t="s">
        <v>12</v>
      </c>
      <c r="P51" s="10" t="s">
        <v>242</v>
      </c>
      <c r="Q51" s="11">
        <v>45798</v>
      </c>
      <c r="R51" s="1">
        <v>0</v>
      </c>
      <c r="S51" s="23" t="s">
        <v>243</v>
      </c>
      <c r="T51" t="s">
        <v>244</v>
      </c>
      <c r="U51" t="s">
        <v>99</v>
      </c>
      <c r="V51" s="3"/>
    </row>
    <row r="52" spans="1:23" ht="30" x14ac:dyDescent="0.25">
      <c r="A52" s="2">
        <v>45597</v>
      </c>
      <c r="B52" t="s">
        <v>217</v>
      </c>
      <c r="C52" t="s">
        <v>220</v>
      </c>
      <c r="D52" s="1" t="s">
        <v>245</v>
      </c>
      <c r="E52" s="1"/>
      <c r="F52" s="1" t="s">
        <v>17</v>
      </c>
      <c r="G52" s="10"/>
      <c r="H52" s="1"/>
      <c r="I52" s="10"/>
      <c r="J52" s="10"/>
      <c r="K52" s="10"/>
      <c r="L52" s="10"/>
      <c r="M52" s="1" t="s">
        <v>98</v>
      </c>
      <c r="N52" s="1" t="s">
        <v>99</v>
      </c>
      <c r="O52" s="1" t="s">
        <v>14</v>
      </c>
      <c r="P52" s="10"/>
      <c r="Q52" s="11"/>
      <c r="R52" s="1">
        <v>1</v>
      </c>
      <c r="T52" s="3" t="s">
        <v>222</v>
      </c>
      <c r="U52" t="s">
        <v>99</v>
      </c>
      <c r="V52" s="3"/>
    </row>
    <row r="53" spans="1:23" ht="105" x14ac:dyDescent="0.25">
      <c r="A53" s="2">
        <v>45597</v>
      </c>
      <c r="B53" t="s">
        <v>217</v>
      </c>
      <c r="C53" t="s">
        <v>220</v>
      </c>
      <c r="D53" s="1" t="s">
        <v>246</v>
      </c>
      <c r="E53" s="1"/>
      <c r="F53" s="1" t="s">
        <v>198</v>
      </c>
      <c r="G53" s="10"/>
      <c r="H53" s="1" t="s">
        <v>247</v>
      </c>
      <c r="I53" s="10" t="s">
        <v>248</v>
      </c>
      <c r="J53" s="10"/>
      <c r="K53" s="10"/>
      <c r="L53" s="10"/>
      <c r="M53" s="1" t="s">
        <v>104</v>
      </c>
      <c r="N53" s="1" t="s">
        <v>99</v>
      </c>
      <c r="O53" s="1" t="s">
        <v>12</v>
      </c>
      <c r="P53" s="10"/>
      <c r="Q53" s="11">
        <v>45705</v>
      </c>
      <c r="R53" s="1">
        <v>1</v>
      </c>
      <c r="T53" s="3" t="s">
        <v>222</v>
      </c>
      <c r="U53" t="s">
        <v>99</v>
      </c>
      <c r="V53" s="3"/>
    </row>
    <row r="54" spans="1:23" ht="90" x14ac:dyDescent="0.25">
      <c r="A54" s="2">
        <v>45505</v>
      </c>
      <c r="B54" t="s">
        <v>208</v>
      </c>
      <c r="C54" t="s">
        <v>209</v>
      </c>
      <c r="D54" s="1" t="s">
        <v>249</v>
      </c>
      <c r="E54" s="10" t="s">
        <v>211</v>
      </c>
      <c r="F54" s="1" t="s">
        <v>15</v>
      </c>
      <c r="G54" s="10"/>
      <c r="H54" s="1"/>
      <c r="I54" s="10"/>
      <c r="J54" s="10"/>
      <c r="K54" s="10"/>
      <c r="L54" s="10"/>
      <c r="M54" s="1" t="s">
        <v>98</v>
      </c>
      <c r="N54" s="1" t="s">
        <v>99</v>
      </c>
      <c r="O54" s="1" t="s">
        <v>14</v>
      </c>
      <c r="P54" s="10"/>
      <c r="Q54" s="11">
        <v>45785</v>
      </c>
      <c r="R54" s="1">
        <v>2</v>
      </c>
      <c r="S54" s="23" t="s">
        <v>250</v>
      </c>
      <c r="T54" t="s">
        <v>213</v>
      </c>
      <c r="U54" t="s">
        <v>99</v>
      </c>
      <c r="V54" s="3"/>
    </row>
    <row r="55" spans="1:23" ht="45" x14ac:dyDescent="0.25">
      <c r="A55" s="2">
        <v>45558</v>
      </c>
      <c r="B55" t="s">
        <v>95</v>
      </c>
      <c r="C55" t="s">
        <v>183</v>
      </c>
      <c r="D55" s="1" t="s">
        <v>251</v>
      </c>
      <c r="E55" s="10" t="s">
        <v>252</v>
      </c>
      <c r="F55" s="1" t="s">
        <v>11</v>
      </c>
      <c r="G55" s="10"/>
      <c r="H55" s="1"/>
      <c r="I55" s="10"/>
      <c r="J55" s="10"/>
      <c r="K55" s="10"/>
      <c r="L55" s="10"/>
      <c r="M55" s="1" t="s">
        <v>98</v>
      </c>
      <c r="N55" s="1" t="s">
        <v>99</v>
      </c>
      <c r="O55" s="1" t="s">
        <v>14</v>
      </c>
      <c r="P55" s="10"/>
      <c r="Q55" s="11">
        <v>45680</v>
      </c>
      <c r="R55" s="1">
        <v>2</v>
      </c>
      <c r="S55" s="23" t="s">
        <v>253</v>
      </c>
      <c r="T55" t="s">
        <v>111</v>
      </c>
      <c r="U55" t="s">
        <v>99</v>
      </c>
      <c r="V55" s="3" t="s">
        <v>183</v>
      </c>
    </row>
    <row r="56" spans="1:23" x14ac:dyDescent="0.25">
      <c r="A56" s="2">
        <v>45748</v>
      </c>
      <c r="B56" t="s">
        <v>254</v>
      </c>
      <c r="C56" t="s">
        <v>255</v>
      </c>
      <c r="D56" s="10" t="s">
        <v>61</v>
      </c>
      <c r="E56" s="10"/>
      <c r="F56" s="1" t="s">
        <v>17</v>
      </c>
      <c r="G56" s="10"/>
      <c r="H56" s="1"/>
      <c r="I56" s="10"/>
      <c r="J56" s="10"/>
      <c r="K56" s="10"/>
      <c r="L56" s="10"/>
      <c r="M56" s="1" t="s">
        <v>98</v>
      </c>
      <c r="N56" s="1" t="s">
        <v>99</v>
      </c>
      <c r="O56" s="1" t="s">
        <v>14</v>
      </c>
      <c r="P56" s="10"/>
      <c r="Q56" s="14">
        <v>45768</v>
      </c>
      <c r="R56" s="1">
        <v>1</v>
      </c>
      <c r="S56" s="23" t="s">
        <v>256</v>
      </c>
      <c r="T56" t="s">
        <v>59</v>
      </c>
      <c r="U56" t="s">
        <v>99</v>
      </c>
      <c r="V56" s="3"/>
    </row>
    <row r="57" spans="1:23" ht="45" x14ac:dyDescent="0.25">
      <c r="A57" s="2">
        <v>45457</v>
      </c>
      <c r="B57" s="2"/>
      <c r="C57" t="s">
        <v>239</v>
      </c>
      <c r="D57" s="1" t="s">
        <v>257</v>
      </c>
      <c r="E57" s="1"/>
      <c r="F57" s="1" t="s">
        <v>15</v>
      </c>
      <c r="G57" s="10"/>
      <c r="H57" s="1"/>
      <c r="I57" s="10"/>
      <c r="J57" s="10"/>
      <c r="K57" s="13">
        <v>45905</v>
      </c>
      <c r="L57" s="10" t="s">
        <v>258</v>
      </c>
      <c r="M57" s="1" t="s">
        <v>104</v>
      </c>
      <c r="N57" s="1"/>
      <c r="O57" s="1" t="s">
        <v>12</v>
      </c>
      <c r="P57" s="10" t="s">
        <v>259</v>
      </c>
      <c r="Q57" s="11"/>
      <c r="R57" s="1">
        <v>0</v>
      </c>
      <c r="S57" s="23" t="s">
        <v>260</v>
      </c>
      <c r="T57" t="s">
        <v>244</v>
      </c>
      <c r="U57" t="s">
        <v>99</v>
      </c>
      <c r="V57" s="3"/>
    </row>
    <row r="58" spans="1:23" ht="60" x14ac:dyDescent="0.25">
      <c r="A58" s="2">
        <v>45457</v>
      </c>
      <c r="B58" s="2"/>
      <c r="C58" t="s">
        <v>239</v>
      </c>
      <c r="D58" s="1" t="s">
        <v>261</v>
      </c>
      <c r="E58" s="1"/>
      <c r="F58" s="1" t="s">
        <v>15</v>
      </c>
      <c r="G58" s="10"/>
      <c r="H58" s="1"/>
      <c r="I58" s="10"/>
      <c r="J58" s="10"/>
      <c r="K58" s="13">
        <v>45849</v>
      </c>
      <c r="L58" s="10" t="s">
        <v>262</v>
      </c>
      <c r="M58" s="1" t="s">
        <v>104</v>
      </c>
      <c r="N58" s="1"/>
      <c r="O58" s="1" t="s">
        <v>12</v>
      </c>
      <c r="P58" s="10" t="s">
        <v>263</v>
      </c>
      <c r="Q58" s="11"/>
      <c r="R58" s="1">
        <v>0</v>
      </c>
      <c r="S58" s="23" t="s">
        <v>264</v>
      </c>
      <c r="T58" t="s">
        <v>244</v>
      </c>
      <c r="U58" t="s">
        <v>99</v>
      </c>
      <c r="V58" s="3"/>
    </row>
    <row r="59" spans="1:23" ht="60" x14ac:dyDescent="0.25">
      <c r="A59" s="2">
        <v>45457</v>
      </c>
      <c r="B59" s="2"/>
      <c r="C59" t="s">
        <v>239</v>
      </c>
      <c r="D59" s="1" t="s">
        <v>265</v>
      </c>
      <c r="E59" s="1"/>
      <c r="F59" s="1" t="s">
        <v>15</v>
      </c>
      <c r="G59" s="10"/>
      <c r="H59" s="1"/>
      <c r="I59" s="10"/>
      <c r="J59" s="10"/>
      <c r="K59" s="13">
        <v>45849</v>
      </c>
      <c r="L59" s="10" t="s">
        <v>241</v>
      </c>
      <c r="M59" s="1" t="s">
        <v>104</v>
      </c>
      <c r="N59" s="1"/>
      <c r="O59" s="1" t="s">
        <v>12</v>
      </c>
      <c r="P59" s="10" t="s">
        <v>242</v>
      </c>
      <c r="Q59" s="11"/>
      <c r="R59" s="1">
        <v>0</v>
      </c>
      <c r="S59" s="23" t="s">
        <v>266</v>
      </c>
      <c r="T59" t="s">
        <v>244</v>
      </c>
      <c r="U59" t="s">
        <v>99</v>
      </c>
      <c r="V59" s="3"/>
      <c r="W59" s="3"/>
    </row>
    <row r="60" spans="1:23" x14ac:dyDescent="0.25">
      <c r="A60" s="2">
        <v>45727</v>
      </c>
      <c r="B60" t="s">
        <v>143</v>
      </c>
      <c r="C60" t="s">
        <v>183</v>
      </c>
      <c r="D60" s="1" t="s">
        <v>51</v>
      </c>
      <c r="E60" s="1"/>
      <c r="F60" s="1" t="s">
        <v>11</v>
      </c>
      <c r="G60" s="10"/>
      <c r="H60" s="1"/>
      <c r="I60" s="10"/>
      <c r="J60" s="10"/>
      <c r="K60" s="10"/>
      <c r="L60" s="10"/>
      <c r="M60" s="1" t="s">
        <v>104</v>
      </c>
      <c r="N60" s="1" t="s">
        <v>99</v>
      </c>
      <c r="O60" s="1" t="s">
        <v>12</v>
      </c>
      <c r="P60" s="10"/>
      <c r="Q60" s="11"/>
      <c r="R60" s="1">
        <v>0</v>
      </c>
      <c r="S60" s="23" t="s">
        <v>267</v>
      </c>
      <c r="T60" t="s">
        <v>46</v>
      </c>
      <c r="U60" t="s">
        <v>99</v>
      </c>
      <c r="V60" s="3"/>
      <c r="W60" s="3"/>
    </row>
    <row r="61" spans="1:23" ht="60" x14ac:dyDescent="0.25">
      <c r="A61" s="2">
        <v>45558</v>
      </c>
      <c r="B61" t="s">
        <v>95</v>
      </c>
      <c r="C61" t="s">
        <v>112</v>
      </c>
      <c r="D61" s="1" t="s">
        <v>268</v>
      </c>
      <c r="E61" s="10" t="s">
        <v>269</v>
      </c>
      <c r="F61" s="1" t="s">
        <v>11</v>
      </c>
      <c r="G61" s="1"/>
      <c r="H61" s="14"/>
      <c r="J61" s="1"/>
      <c r="K61" s="1"/>
      <c r="L61" s="10"/>
      <c r="M61" s="1" t="s">
        <v>98</v>
      </c>
      <c r="N61" s="1" t="s">
        <v>99</v>
      </c>
      <c r="O61" s="1" t="s">
        <v>14</v>
      </c>
      <c r="P61" s="10"/>
      <c r="Q61" s="11">
        <v>45639</v>
      </c>
      <c r="R61" s="1">
        <v>2</v>
      </c>
      <c r="S61" s="23" t="s">
        <v>270</v>
      </c>
      <c r="T61" t="s">
        <v>111</v>
      </c>
      <c r="U61" t="s">
        <v>99</v>
      </c>
      <c r="V61" s="3" t="s">
        <v>112</v>
      </c>
      <c r="W61" s="3"/>
    </row>
    <row r="62" spans="1:23" ht="30" x14ac:dyDescent="0.25">
      <c r="D62" s="1" t="s">
        <v>271</v>
      </c>
      <c r="E62" s="1"/>
      <c r="F62" s="1" t="s">
        <v>15</v>
      </c>
      <c r="G62" s="10"/>
      <c r="H62" s="1"/>
      <c r="I62" s="10"/>
      <c r="J62" s="10"/>
      <c r="K62" s="10"/>
      <c r="L62" s="10"/>
      <c r="M62" s="1" t="s">
        <v>104</v>
      </c>
      <c r="N62" s="1" t="s">
        <v>99</v>
      </c>
      <c r="O62" s="1" t="s">
        <v>12</v>
      </c>
      <c r="P62" s="9" t="s">
        <v>272</v>
      </c>
      <c r="Q62" s="11"/>
      <c r="R62" s="1">
        <v>2</v>
      </c>
      <c r="T62" t="s">
        <v>194</v>
      </c>
      <c r="U62"/>
      <c r="V62" s="3"/>
      <c r="W62" s="3"/>
    </row>
    <row r="63" spans="1:23" ht="60" x14ac:dyDescent="0.25">
      <c r="A63" s="2">
        <v>45558</v>
      </c>
      <c r="B63" t="s">
        <v>95</v>
      </c>
      <c r="C63" t="s">
        <v>183</v>
      </c>
      <c r="D63" s="1" t="s">
        <v>273</v>
      </c>
      <c r="E63" s="10" t="s">
        <v>274</v>
      </c>
      <c r="F63" s="1" t="s">
        <v>17</v>
      </c>
      <c r="G63" s="10"/>
      <c r="H63" s="1"/>
      <c r="I63" s="10"/>
      <c r="J63" s="10"/>
      <c r="K63" s="10"/>
      <c r="L63" s="10"/>
      <c r="M63" s="1" t="s">
        <v>98</v>
      </c>
      <c r="N63" s="1" t="s">
        <v>99</v>
      </c>
      <c r="O63" s="1" t="s">
        <v>14</v>
      </c>
      <c r="P63" s="10"/>
      <c r="Q63" s="11">
        <v>45680</v>
      </c>
      <c r="R63" s="1">
        <v>3</v>
      </c>
      <c r="S63" s="23" t="s">
        <v>275</v>
      </c>
      <c r="T63" t="s">
        <v>111</v>
      </c>
      <c r="U63" t="s">
        <v>99</v>
      </c>
      <c r="V63" s="3" t="s">
        <v>183</v>
      </c>
    </row>
    <row r="64" spans="1:23" x14ac:dyDescent="0.25">
      <c r="A64" s="2">
        <v>45558</v>
      </c>
      <c r="B64" t="s">
        <v>95</v>
      </c>
      <c r="C64" t="s">
        <v>112</v>
      </c>
      <c r="D64" s="1" t="s">
        <v>276</v>
      </c>
      <c r="E64" s="1" t="s">
        <v>120</v>
      </c>
      <c r="F64" s="1" t="s">
        <v>17</v>
      </c>
      <c r="G64" s="10"/>
      <c r="H64" s="1"/>
      <c r="I64" s="10"/>
      <c r="J64" s="10"/>
      <c r="K64" s="10"/>
      <c r="L64" s="10"/>
      <c r="M64" s="1" t="s">
        <v>98</v>
      </c>
      <c r="N64" s="1" t="s">
        <v>99</v>
      </c>
      <c r="O64" s="1" t="s">
        <v>14</v>
      </c>
      <c r="P64" s="10"/>
      <c r="Q64" s="11"/>
      <c r="R64" s="1">
        <v>3</v>
      </c>
      <c r="S64" s="23" t="s">
        <v>277</v>
      </c>
      <c r="T64" t="s">
        <v>111</v>
      </c>
      <c r="U64" t="s">
        <v>99</v>
      </c>
      <c r="V64" s="3" t="s">
        <v>112</v>
      </c>
    </row>
    <row r="65" spans="1:22" ht="45" x14ac:dyDescent="0.25">
      <c r="A65" s="2">
        <v>45558</v>
      </c>
      <c r="B65" t="s">
        <v>95</v>
      </c>
      <c r="C65" t="s">
        <v>151</v>
      </c>
      <c r="D65" s="1" t="s">
        <v>278</v>
      </c>
      <c r="E65" s="10" t="s">
        <v>279</v>
      </c>
      <c r="F65" s="1" t="s">
        <v>17</v>
      </c>
      <c r="G65" s="10"/>
      <c r="H65" s="1"/>
      <c r="I65" s="10"/>
      <c r="J65" s="10"/>
      <c r="K65" s="10"/>
      <c r="L65" s="10"/>
      <c r="M65" s="1" t="s">
        <v>98</v>
      </c>
      <c r="N65" s="1" t="s">
        <v>99</v>
      </c>
      <c r="O65" s="1" t="s">
        <v>14</v>
      </c>
      <c r="P65" s="10"/>
      <c r="Q65" s="11"/>
      <c r="R65" s="1">
        <v>1</v>
      </c>
      <c r="S65" s="23" t="s">
        <v>280</v>
      </c>
      <c r="T65" t="s">
        <v>111</v>
      </c>
      <c r="U65" t="s">
        <v>99</v>
      </c>
      <c r="V65" s="3" t="s">
        <v>151</v>
      </c>
    </row>
    <row r="66" spans="1:22" ht="45" x14ac:dyDescent="0.25">
      <c r="A66" s="2">
        <v>45527</v>
      </c>
      <c r="B66" s="2"/>
      <c r="C66" t="s">
        <v>281</v>
      </c>
      <c r="D66" s="1" t="s">
        <v>282</v>
      </c>
      <c r="E66" s="1"/>
      <c r="F66" s="1" t="s">
        <v>17</v>
      </c>
      <c r="G66" s="10"/>
      <c r="H66" s="1" t="s">
        <v>283</v>
      </c>
      <c r="I66" s="10" t="s">
        <v>284</v>
      </c>
      <c r="J66" s="10"/>
      <c r="K66" s="10"/>
      <c r="L66" s="10"/>
      <c r="M66" s="1" t="s">
        <v>98</v>
      </c>
      <c r="N66" s="1" t="s">
        <v>99</v>
      </c>
      <c r="O66" s="1" t="s">
        <v>14</v>
      </c>
      <c r="P66" s="10"/>
      <c r="Q66" s="11">
        <v>45587</v>
      </c>
      <c r="R66" s="1">
        <v>1</v>
      </c>
      <c r="S66" s="23" t="s">
        <v>285</v>
      </c>
      <c r="T66" t="s">
        <v>286</v>
      </c>
      <c r="U66" t="s">
        <v>99</v>
      </c>
      <c r="V66" s="3" t="s">
        <v>287</v>
      </c>
    </row>
    <row r="67" spans="1:22" x14ac:dyDescent="0.25">
      <c r="A67" s="2">
        <v>45558</v>
      </c>
      <c r="B67" t="s">
        <v>95</v>
      </c>
      <c r="C67" t="s">
        <v>288</v>
      </c>
      <c r="D67" s="1" t="s">
        <v>289</v>
      </c>
      <c r="E67" s="1" t="s">
        <v>290</v>
      </c>
      <c r="F67" s="1" t="s">
        <v>15</v>
      </c>
      <c r="G67" s="10"/>
      <c r="H67" s="1"/>
      <c r="I67" s="10"/>
      <c r="J67" s="10"/>
      <c r="K67" s="10"/>
      <c r="L67" s="10"/>
      <c r="M67" s="1" t="s">
        <v>98</v>
      </c>
      <c r="N67" s="1" t="s">
        <v>99</v>
      </c>
      <c r="O67" s="1" t="s">
        <v>14</v>
      </c>
      <c r="P67" s="10"/>
      <c r="Q67" s="11"/>
      <c r="R67" s="1">
        <v>1</v>
      </c>
      <c r="S67" s="23" t="s">
        <v>291</v>
      </c>
      <c r="T67" t="s">
        <v>292</v>
      </c>
      <c r="U67" t="s">
        <v>99</v>
      </c>
      <c r="V67" s="3" t="s">
        <v>288</v>
      </c>
    </row>
    <row r="68" spans="1:22" x14ac:dyDescent="0.25">
      <c r="A68" s="2">
        <v>45727</v>
      </c>
      <c r="B68" t="s">
        <v>143</v>
      </c>
      <c r="C68" t="s">
        <v>112</v>
      </c>
      <c r="D68" s="24" t="s">
        <v>58</v>
      </c>
      <c r="E68" s="24"/>
      <c r="F68" s="1" t="s">
        <v>11</v>
      </c>
      <c r="G68" s="10"/>
      <c r="H68" s="1"/>
      <c r="I68" s="10"/>
      <c r="J68" s="10"/>
      <c r="K68" s="13">
        <v>45839</v>
      </c>
      <c r="L68" s="10"/>
      <c r="M68" s="1" t="s">
        <v>104</v>
      </c>
      <c r="N68" s="1" t="s">
        <v>99</v>
      </c>
      <c r="O68" s="1" t="s">
        <v>12</v>
      </c>
      <c r="P68" s="10"/>
      <c r="Q68" s="11"/>
      <c r="R68" s="1">
        <v>0</v>
      </c>
      <c r="S68" s="23" t="s">
        <v>293</v>
      </c>
      <c r="T68" t="s">
        <v>46</v>
      </c>
      <c r="U68"/>
      <c r="V68" s="3"/>
    </row>
    <row r="69" spans="1:22" x14ac:dyDescent="0.25">
      <c r="A69" s="2">
        <v>45558</v>
      </c>
      <c r="B69" t="s">
        <v>95</v>
      </c>
      <c r="C69" t="s">
        <v>294</v>
      </c>
      <c r="D69" s="1" t="s">
        <v>295</v>
      </c>
      <c r="E69" s="1" t="s">
        <v>296</v>
      </c>
      <c r="F69" s="1" t="s">
        <v>11</v>
      </c>
      <c r="G69" s="10"/>
      <c r="H69" s="1"/>
      <c r="I69" s="10"/>
      <c r="J69" s="10"/>
      <c r="K69" s="10"/>
      <c r="L69" s="10"/>
      <c r="M69" s="1" t="s">
        <v>98</v>
      </c>
      <c r="N69" s="1" t="s">
        <v>99</v>
      </c>
      <c r="O69" s="1" t="s">
        <v>14</v>
      </c>
      <c r="P69" s="10"/>
      <c r="Q69" s="11"/>
      <c r="R69" s="1">
        <v>1</v>
      </c>
      <c r="S69" s="23" t="s">
        <v>297</v>
      </c>
      <c r="T69" t="s">
        <v>292</v>
      </c>
      <c r="U69" t="s">
        <v>99</v>
      </c>
      <c r="V69" s="3" t="s">
        <v>227</v>
      </c>
    </row>
    <row r="70" spans="1:22" ht="120" x14ac:dyDescent="0.25">
      <c r="A70" s="2">
        <v>45558</v>
      </c>
      <c r="B70" t="s">
        <v>95</v>
      </c>
      <c r="C70" t="s">
        <v>223</v>
      </c>
      <c r="D70" s="1" t="s">
        <v>224</v>
      </c>
      <c r="E70" s="10" t="s">
        <v>225</v>
      </c>
      <c r="F70" s="1" t="s">
        <v>11</v>
      </c>
      <c r="G70" s="1"/>
      <c r="H70" s="11"/>
      <c r="I70" s="1"/>
      <c r="J70" s="1"/>
      <c r="K70" s="1"/>
      <c r="L70" s="10"/>
      <c r="M70" s="1" t="s">
        <v>98</v>
      </c>
      <c r="N70" s="1" t="s">
        <v>99</v>
      </c>
      <c r="O70" s="1" t="s">
        <v>14</v>
      </c>
      <c r="P70" s="10"/>
      <c r="Q70" s="11">
        <v>45596</v>
      </c>
      <c r="R70" s="1">
        <v>1</v>
      </c>
      <c r="S70" s="23" t="s">
        <v>298</v>
      </c>
      <c r="T70" t="s">
        <v>292</v>
      </c>
      <c r="U70" t="s">
        <v>99</v>
      </c>
      <c r="V70" s="3" t="s">
        <v>227</v>
      </c>
    </row>
    <row r="71" spans="1:22" ht="195" x14ac:dyDescent="0.25">
      <c r="A71" s="2">
        <v>45558</v>
      </c>
      <c r="B71" t="s">
        <v>95</v>
      </c>
      <c r="C71" t="s">
        <v>294</v>
      </c>
      <c r="D71" s="1" t="s">
        <v>299</v>
      </c>
      <c r="E71" s="10" t="s">
        <v>300</v>
      </c>
      <c r="F71" s="1" t="s">
        <v>11</v>
      </c>
      <c r="G71" s="10"/>
      <c r="H71" s="1"/>
      <c r="I71" s="10"/>
      <c r="J71" s="10"/>
      <c r="K71" s="10"/>
      <c r="L71" s="10"/>
      <c r="M71" s="1" t="s">
        <v>98</v>
      </c>
      <c r="N71" s="1" t="s">
        <v>99</v>
      </c>
      <c r="O71" s="1" t="s">
        <v>14</v>
      </c>
      <c r="P71" s="10"/>
      <c r="Q71" s="11">
        <v>45596</v>
      </c>
      <c r="R71" s="1">
        <v>1</v>
      </c>
      <c r="S71" s="23" t="s">
        <v>301</v>
      </c>
      <c r="T71" t="s">
        <v>292</v>
      </c>
      <c r="U71" t="s">
        <v>99</v>
      </c>
      <c r="V71" s="3" t="s">
        <v>227</v>
      </c>
    </row>
    <row r="72" spans="1:22" x14ac:dyDescent="0.25">
      <c r="A72" s="2">
        <v>45627</v>
      </c>
      <c r="B72" t="s">
        <v>95</v>
      </c>
      <c r="C72" t="s">
        <v>288</v>
      </c>
      <c r="D72" s="1" t="s">
        <v>302</v>
      </c>
      <c r="E72" s="1" t="s">
        <v>124</v>
      </c>
      <c r="F72" s="1" t="s">
        <v>11</v>
      </c>
      <c r="G72" s="10"/>
      <c r="H72" s="1"/>
      <c r="I72" s="10"/>
      <c r="J72" s="10"/>
      <c r="K72" s="10"/>
      <c r="L72" s="10"/>
      <c r="M72" s="1" t="s">
        <v>104</v>
      </c>
      <c r="N72" s="1" t="s">
        <v>99</v>
      </c>
      <c r="O72" s="1" t="s">
        <v>12</v>
      </c>
      <c r="P72" s="10"/>
      <c r="Q72" s="11"/>
      <c r="R72" s="1">
        <v>0</v>
      </c>
      <c r="S72" s="23" t="s">
        <v>303</v>
      </c>
      <c r="T72" t="s">
        <v>304</v>
      </c>
      <c r="U72" t="s">
        <v>99</v>
      </c>
      <c r="V72" s="3" t="s">
        <v>288</v>
      </c>
    </row>
    <row r="73" spans="1:22" x14ac:dyDescent="0.25">
      <c r="A73" s="2">
        <v>45558</v>
      </c>
      <c r="B73" t="s">
        <v>95</v>
      </c>
      <c r="C73" s="3" t="s">
        <v>305</v>
      </c>
      <c r="D73" s="1" t="s">
        <v>306</v>
      </c>
      <c r="E73" s="1"/>
      <c r="F73" s="1" t="s">
        <v>15</v>
      </c>
      <c r="G73" s="10"/>
      <c r="H73" s="1"/>
      <c r="I73" s="10"/>
      <c r="J73" s="10"/>
      <c r="K73" s="10"/>
      <c r="L73" s="10"/>
      <c r="M73" s="1" t="s">
        <v>104</v>
      </c>
      <c r="N73" s="1" t="s">
        <v>99</v>
      </c>
      <c r="O73" s="1" t="s">
        <v>12</v>
      </c>
      <c r="P73" s="10"/>
      <c r="Q73" s="11"/>
      <c r="R73" s="1">
        <v>0</v>
      </c>
      <c r="S73" s="23" t="s">
        <v>307</v>
      </c>
      <c r="T73" t="s">
        <v>308</v>
      </c>
      <c r="U73" t="s">
        <v>99</v>
      </c>
      <c r="V73" s="3" t="s">
        <v>305</v>
      </c>
    </row>
    <row r="74" spans="1:22" ht="30" x14ac:dyDescent="0.25">
      <c r="A74" s="2">
        <v>45457</v>
      </c>
      <c r="B74" s="2"/>
      <c r="C74" t="s">
        <v>239</v>
      </c>
      <c r="D74" s="1" t="s">
        <v>309</v>
      </c>
      <c r="E74" s="1"/>
      <c r="F74" s="1" t="s">
        <v>15</v>
      </c>
      <c r="G74" s="10"/>
      <c r="H74" s="1"/>
      <c r="I74" s="10"/>
      <c r="J74" s="10"/>
      <c r="K74" s="13">
        <v>45737</v>
      </c>
      <c r="L74" s="10" t="s">
        <v>241</v>
      </c>
      <c r="M74" s="1" t="s">
        <v>104</v>
      </c>
      <c r="N74" s="1"/>
      <c r="O74" s="1" t="s">
        <v>12</v>
      </c>
      <c r="P74" s="10"/>
      <c r="Q74" s="11"/>
      <c r="R74" s="1">
        <v>0</v>
      </c>
      <c r="S74" s="23" t="s">
        <v>310</v>
      </c>
      <c r="T74" t="s">
        <v>244</v>
      </c>
      <c r="U74" t="s">
        <v>99</v>
      </c>
      <c r="V74" s="3"/>
    </row>
    <row r="75" spans="1:22" ht="120" x14ac:dyDescent="0.25">
      <c r="A75" s="2">
        <v>45558</v>
      </c>
      <c r="B75" t="s">
        <v>95</v>
      </c>
      <c r="D75" s="1" t="s">
        <v>311</v>
      </c>
      <c r="E75" s="10" t="s">
        <v>312</v>
      </c>
      <c r="F75" s="1" t="s">
        <v>15</v>
      </c>
      <c r="G75" s="10"/>
      <c r="H75" s="1"/>
      <c r="I75" s="10"/>
      <c r="J75" s="10"/>
      <c r="K75" s="10"/>
      <c r="L75" s="10"/>
      <c r="M75" s="1" t="s">
        <v>98</v>
      </c>
      <c r="N75" s="1" t="s">
        <v>99</v>
      </c>
      <c r="O75" s="1" t="s">
        <v>14</v>
      </c>
      <c r="P75" s="10"/>
      <c r="Q75" s="11"/>
      <c r="R75" s="1">
        <v>2</v>
      </c>
      <c r="S75" s="23" t="s">
        <v>313</v>
      </c>
      <c r="T75" t="s">
        <v>101</v>
      </c>
      <c r="U75" t="s">
        <v>99</v>
      </c>
      <c r="V75" s="3"/>
    </row>
    <row r="76" spans="1:22" ht="90" x14ac:dyDescent="0.25">
      <c r="A76" s="2">
        <v>45558</v>
      </c>
      <c r="B76" t="s">
        <v>314</v>
      </c>
      <c r="C76" t="s">
        <v>315</v>
      </c>
      <c r="D76" s="1" t="s">
        <v>316</v>
      </c>
      <c r="E76" s="10" t="s">
        <v>317</v>
      </c>
      <c r="F76" s="1" t="s">
        <v>17</v>
      </c>
      <c r="G76" s="10"/>
      <c r="H76" s="1"/>
      <c r="I76" s="10"/>
      <c r="J76" s="3"/>
      <c r="K76" s="10"/>
      <c r="L76" s="10"/>
      <c r="M76" s="1" t="s">
        <v>98</v>
      </c>
      <c r="N76" s="1" t="s">
        <v>99</v>
      </c>
      <c r="O76" s="1" t="s">
        <v>14</v>
      </c>
      <c r="P76" s="10"/>
      <c r="Q76" s="11">
        <v>45973</v>
      </c>
      <c r="R76" s="1">
        <v>1</v>
      </c>
      <c r="S76" s="23" t="s">
        <v>318</v>
      </c>
      <c r="T76" t="s">
        <v>292</v>
      </c>
      <c r="U76" t="s">
        <v>99</v>
      </c>
      <c r="V76" s="3"/>
    </row>
    <row r="77" spans="1:22" x14ac:dyDescent="0.25">
      <c r="A77" s="2">
        <v>45727</v>
      </c>
      <c r="B77" t="s">
        <v>143</v>
      </c>
      <c r="C77" t="s">
        <v>319</v>
      </c>
      <c r="D77" s="1" t="s">
        <v>50</v>
      </c>
      <c r="F77" t="s">
        <v>11</v>
      </c>
      <c r="G77" s="3"/>
      <c r="I77" s="3"/>
      <c r="J77" s="3"/>
      <c r="K77" s="3"/>
      <c r="M77" s="1" t="s">
        <v>104</v>
      </c>
      <c r="N77" s="1" t="s">
        <v>99</v>
      </c>
      <c r="O77" s="1" t="s">
        <v>12</v>
      </c>
      <c r="Q77" s="14"/>
      <c r="R77" s="1">
        <v>0</v>
      </c>
      <c r="S77" s="23" t="s">
        <v>320</v>
      </c>
      <c r="T77" t="s">
        <v>46</v>
      </c>
      <c r="U77" t="s">
        <v>99</v>
      </c>
      <c r="V77" s="3"/>
    </row>
    <row r="78" spans="1:22" x14ac:dyDescent="0.25">
      <c r="A78" s="2">
        <v>45558</v>
      </c>
      <c r="B78" t="s">
        <v>95</v>
      </c>
      <c r="C78" t="s">
        <v>321</v>
      </c>
      <c r="D78" s="1" t="s">
        <v>322</v>
      </c>
      <c r="E78" t="s">
        <v>323</v>
      </c>
      <c r="F78" t="s">
        <v>17</v>
      </c>
      <c r="G78" s="3"/>
      <c r="I78" s="3"/>
      <c r="J78" s="3"/>
      <c r="K78" s="3"/>
      <c r="M78" s="1" t="s">
        <v>98</v>
      </c>
      <c r="N78" s="1" t="s">
        <v>99</v>
      </c>
      <c r="O78" s="1" t="s">
        <v>14</v>
      </c>
      <c r="Q78" s="14"/>
      <c r="R78" s="1">
        <v>1</v>
      </c>
      <c r="S78" s="23" t="s">
        <v>324</v>
      </c>
      <c r="T78" t="s">
        <v>292</v>
      </c>
      <c r="U78" t="s">
        <v>99</v>
      </c>
      <c r="V78" s="3" t="s">
        <v>227</v>
      </c>
    </row>
    <row r="79" spans="1:22" ht="30" x14ac:dyDescent="0.25">
      <c r="A79" s="2">
        <v>45597</v>
      </c>
      <c r="B79" t="s">
        <v>217</v>
      </c>
      <c r="C79" t="s">
        <v>220</v>
      </c>
      <c r="D79" s="1" t="s">
        <v>325</v>
      </c>
      <c r="F79" t="s">
        <v>11</v>
      </c>
      <c r="G79" s="3"/>
      <c r="I79" s="3"/>
      <c r="J79" s="3"/>
      <c r="K79" s="3"/>
      <c r="M79" s="1" t="s">
        <v>98</v>
      </c>
      <c r="N79" s="1" t="s">
        <v>99</v>
      </c>
      <c r="O79" s="1" t="s">
        <v>14</v>
      </c>
      <c r="Q79" s="14"/>
      <c r="R79" s="1">
        <v>1</v>
      </c>
      <c r="T79" s="3" t="s">
        <v>222</v>
      </c>
      <c r="U79" t="s">
        <v>99</v>
      </c>
      <c r="V79" s="3"/>
    </row>
    <row r="80" spans="1:22" x14ac:dyDescent="0.25">
      <c r="A80" s="2">
        <v>45748</v>
      </c>
      <c r="B80" t="s">
        <v>254</v>
      </c>
      <c r="C80" t="s">
        <v>255</v>
      </c>
      <c r="D80" s="10" t="s">
        <v>60</v>
      </c>
      <c r="E80" s="3"/>
      <c r="F80" t="s">
        <v>11</v>
      </c>
      <c r="G80" s="3"/>
      <c r="I80" s="3"/>
      <c r="J80" s="3"/>
      <c r="K80" s="3"/>
      <c r="M80" s="1" t="s">
        <v>98</v>
      </c>
      <c r="N80" s="1" t="s">
        <v>99</v>
      </c>
      <c r="O80" s="1" t="s">
        <v>14</v>
      </c>
      <c r="Q80" s="14">
        <v>45768</v>
      </c>
      <c r="R80" s="1">
        <v>1</v>
      </c>
      <c r="S80" s="23" t="s">
        <v>326</v>
      </c>
      <c r="T80" t="s">
        <v>59</v>
      </c>
      <c r="U80" t="s">
        <v>99</v>
      </c>
      <c r="V80" s="3"/>
    </row>
    <row r="81" spans="1:22" x14ac:dyDescent="0.25">
      <c r="A81" s="2">
        <v>45748</v>
      </c>
      <c r="B81" t="s">
        <v>254</v>
      </c>
      <c r="C81" t="s">
        <v>255</v>
      </c>
      <c r="D81" s="10" t="s">
        <v>62</v>
      </c>
      <c r="E81" s="10"/>
      <c r="F81" s="1" t="s">
        <v>11</v>
      </c>
      <c r="G81" s="10"/>
      <c r="H81" s="1"/>
      <c r="I81" s="10"/>
      <c r="J81" s="10"/>
      <c r="K81" s="10"/>
      <c r="L81" s="10"/>
      <c r="M81" s="1" t="s">
        <v>98</v>
      </c>
      <c r="N81" s="1" t="s">
        <v>99</v>
      </c>
      <c r="O81" s="1" t="s">
        <v>14</v>
      </c>
      <c r="P81" s="10"/>
      <c r="Q81" s="14">
        <v>45768</v>
      </c>
      <c r="R81" s="1">
        <v>1</v>
      </c>
      <c r="S81" s="23" t="s">
        <v>327</v>
      </c>
      <c r="T81" t="s">
        <v>59</v>
      </c>
      <c r="U81" t="s">
        <v>99</v>
      </c>
      <c r="V81" s="3"/>
    </row>
    <row r="82" spans="1:22" ht="60" x14ac:dyDescent="0.25">
      <c r="A82" s="2">
        <v>45558</v>
      </c>
      <c r="B82" t="s">
        <v>95</v>
      </c>
      <c r="C82" t="s">
        <v>328</v>
      </c>
      <c r="D82" t="s">
        <v>329</v>
      </c>
      <c r="E82" s="3" t="s">
        <v>330</v>
      </c>
      <c r="F82" t="s">
        <v>17</v>
      </c>
      <c r="G82" s="3"/>
      <c r="I82" s="3"/>
      <c r="J82" s="3"/>
      <c r="K82" s="3"/>
      <c r="M82" t="s">
        <v>98</v>
      </c>
      <c r="N82" s="1" t="s">
        <v>99</v>
      </c>
      <c r="O82" s="1" t="s">
        <v>14</v>
      </c>
      <c r="Q82" s="14"/>
      <c r="R82" s="1">
        <v>4</v>
      </c>
      <c r="S82" s="23" t="s">
        <v>331</v>
      </c>
      <c r="T82" t="s">
        <v>308</v>
      </c>
      <c r="U82" t="s">
        <v>99</v>
      </c>
      <c r="V82" s="3" t="s">
        <v>328</v>
      </c>
    </row>
    <row r="83" spans="1:22" ht="105" x14ac:dyDescent="0.25">
      <c r="A83" s="2">
        <v>45558</v>
      </c>
      <c r="B83" t="s">
        <v>95</v>
      </c>
      <c r="C83" t="s">
        <v>328</v>
      </c>
      <c r="D83" t="s">
        <v>332</v>
      </c>
      <c r="E83" s="3" t="s">
        <v>333</v>
      </c>
      <c r="F83" t="s">
        <v>198</v>
      </c>
      <c r="G83" s="3"/>
      <c r="I83" s="3"/>
      <c r="J83" s="3"/>
      <c r="K83" s="3"/>
      <c r="M83" t="s">
        <v>98</v>
      </c>
      <c r="N83" s="1" t="s">
        <v>99</v>
      </c>
      <c r="O83" s="1" t="s">
        <v>14</v>
      </c>
      <c r="Q83" s="14"/>
      <c r="R83" s="1">
        <v>1</v>
      </c>
      <c r="S83" s="23" t="s">
        <v>334</v>
      </c>
      <c r="T83" t="s">
        <v>308</v>
      </c>
      <c r="U83" t="s">
        <v>99</v>
      </c>
      <c r="V83" s="3" t="s">
        <v>328</v>
      </c>
    </row>
    <row r="84" spans="1:22" x14ac:dyDescent="0.25">
      <c r="A84" s="2">
        <v>45321</v>
      </c>
      <c r="B84" s="2" t="s">
        <v>95</v>
      </c>
      <c r="C84" t="s">
        <v>151</v>
      </c>
      <c r="D84" t="s">
        <v>335</v>
      </c>
      <c r="F84" t="s">
        <v>15</v>
      </c>
      <c r="G84" s="3"/>
      <c r="H84" t="s">
        <v>186</v>
      </c>
      <c r="I84" s="3"/>
      <c r="J84" s="3"/>
      <c r="K84" s="3"/>
      <c r="M84" s="1" t="s">
        <v>104</v>
      </c>
      <c r="N84" s="1" t="s">
        <v>99</v>
      </c>
      <c r="O84" s="1" t="s">
        <v>12</v>
      </c>
      <c r="Q84" s="14"/>
      <c r="R84" s="1">
        <v>0</v>
      </c>
      <c r="T84" t="s">
        <v>336</v>
      </c>
      <c r="U84" t="s">
        <v>188</v>
      </c>
      <c r="V84" s="3" t="s">
        <v>337</v>
      </c>
    </row>
    <row r="85" spans="1:22" ht="75" x14ac:dyDescent="0.25">
      <c r="A85" s="2">
        <v>45748</v>
      </c>
      <c r="B85" t="s">
        <v>254</v>
      </c>
      <c r="C85" t="s">
        <v>255</v>
      </c>
      <c r="D85" s="3" t="s">
        <v>63</v>
      </c>
      <c r="E85" s="3"/>
      <c r="F85" t="s">
        <v>11</v>
      </c>
      <c r="G85" s="3"/>
      <c r="I85" s="3"/>
      <c r="J85" s="3"/>
      <c r="K85" s="3"/>
      <c r="M85" t="s">
        <v>98</v>
      </c>
      <c r="N85" s="1" t="s">
        <v>99</v>
      </c>
      <c r="O85" s="1" t="s">
        <v>14</v>
      </c>
      <c r="P85" s="3" t="s">
        <v>338</v>
      </c>
      <c r="Q85" s="14">
        <v>46063</v>
      </c>
      <c r="R85" s="1">
        <v>2</v>
      </c>
      <c r="S85" s="23" t="s">
        <v>339</v>
      </c>
      <c r="T85" t="s">
        <v>59</v>
      </c>
      <c r="U85" t="s">
        <v>99</v>
      </c>
      <c r="V85" s="3"/>
    </row>
    <row r="86" spans="1:22" ht="30" x14ac:dyDescent="0.25">
      <c r="A86" s="2">
        <v>45748</v>
      </c>
      <c r="B86" t="s">
        <v>254</v>
      </c>
      <c r="C86" t="s">
        <v>255</v>
      </c>
      <c r="D86" s="3" t="s">
        <v>340</v>
      </c>
      <c r="E86" s="3"/>
      <c r="F86" t="s">
        <v>11</v>
      </c>
      <c r="G86" s="3"/>
      <c r="I86" s="3"/>
      <c r="J86" s="3"/>
      <c r="K86" s="3"/>
      <c r="M86" t="s">
        <v>98</v>
      </c>
      <c r="N86" s="1" t="s">
        <v>99</v>
      </c>
      <c r="O86" s="1" t="s">
        <v>14</v>
      </c>
      <c r="Q86" s="14">
        <v>45768</v>
      </c>
      <c r="R86" s="1">
        <v>1</v>
      </c>
      <c r="S86" s="23" t="s">
        <v>341</v>
      </c>
      <c r="T86" t="s">
        <v>59</v>
      </c>
      <c r="U86" t="s">
        <v>99</v>
      </c>
      <c r="V86" s="3"/>
    </row>
    <row r="87" spans="1:22" x14ac:dyDescent="0.25">
      <c r="A87" s="2">
        <v>45558</v>
      </c>
      <c r="B87" t="s">
        <v>95</v>
      </c>
      <c r="C87" s="3" t="s">
        <v>305</v>
      </c>
      <c r="D87" t="s">
        <v>342</v>
      </c>
      <c r="F87" t="s">
        <v>15</v>
      </c>
      <c r="G87" s="3"/>
      <c r="I87" s="3"/>
      <c r="J87" s="3"/>
      <c r="K87" s="3"/>
      <c r="M87" s="1" t="s">
        <v>104</v>
      </c>
      <c r="N87" s="1" t="s">
        <v>99</v>
      </c>
      <c r="O87" s="1" t="s">
        <v>12</v>
      </c>
      <c r="Q87" s="14"/>
      <c r="R87" s="1">
        <v>0</v>
      </c>
      <c r="S87" s="23" t="s">
        <v>343</v>
      </c>
      <c r="T87" t="s">
        <v>308</v>
      </c>
      <c r="U87" t="s">
        <v>99</v>
      </c>
      <c r="V87" s="3" t="s">
        <v>328</v>
      </c>
    </row>
    <row r="88" spans="1:22" x14ac:dyDescent="0.25">
      <c r="A88" s="2">
        <v>45748</v>
      </c>
      <c r="B88" t="s">
        <v>254</v>
      </c>
      <c r="C88" t="s">
        <v>255</v>
      </c>
      <c r="D88" s="3" t="s">
        <v>64</v>
      </c>
      <c r="E88" s="3"/>
      <c r="F88" t="s">
        <v>11</v>
      </c>
      <c r="G88" s="3"/>
      <c r="I88" s="3"/>
      <c r="J88" s="3"/>
      <c r="K88" s="3"/>
      <c r="M88" t="s">
        <v>98</v>
      </c>
      <c r="N88" s="1" t="s">
        <v>99</v>
      </c>
      <c r="O88" s="1" t="s">
        <v>14</v>
      </c>
      <c r="Q88" s="14">
        <v>45768</v>
      </c>
      <c r="R88" s="1">
        <v>1</v>
      </c>
      <c r="S88" s="23" t="s">
        <v>344</v>
      </c>
      <c r="T88" t="s">
        <v>59</v>
      </c>
      <c r="U88" t="s">
        <v>99</v>
      </c>
      <c r="V88" s="3"/>
    </row>
    <row r="89" spans="1:22" x14ac:dyDescent="0.25">
      <c r="A89" s="2">
        <v>45748</v>
      </c>
      <c r="B89" t="s">
        <v>254</v>
      </c>
      <c r="C89" t="s">
        <v>255</v>
      </c>
      <c r="D89" s="3" t="s">
        <v>345</v>
      </c>
      <c r="E89" s="10"/>
      <c r="F89" s="1" t="s">
        <v>11</v>
      </c>
      <c r="G89" s="10"/>
      <c r="H89" s="1"/>
      <c r="I89" s="10"/>
      <c r="J89" s="10"/>
      <c r="K89" s="10"/>
      <c r="M89" s="1" t="s">
        <v>98</v>
      </c>
      <c r="N89" s="1" t="s">
        <v>99</v>
      </c>
      <c r="O89" s="1" t="s">
        <v>14</v>
      </c>
      <c r="P89" s="10"/>
      <c r="Q89" s="14">
        <v>45768</v>
      </c>
      <c r="R89" s="1">
        <v>1</v>
      </c>
      <c r="S89" s="23" t="s">
        <v>346</v>
      </c>
      <c r="T89" t="s">
        <v>59</v>
      </c>
      <c r="U89" t="s">
        <v>99</v>
      </c>
      <c r="V89" s="3"/>
    </row>
    <row r="90" spans="1:22" x14ac:dyDescent="0.25">
      <c r="A90" s="2">
        <v>45321</v>
      </c>
      <c r="B90" s="2" t="s">
        <v>95</v>
      </c>
      <c r="C90" t="s">
        <v>151</v>
      </c>
      <c r="D90" s="3" t="s">
        <v>347</v>
      </c>
      <c r="F90" s="1" t="s">
        <v>15</v>
      </c>
      <c r="G90" s="10"/>
      <c r="H90" s="1" t="s">
        <v>348</v>
      </c>
      <c r="I90" s="10"/>
      <c r="J90" s="10"/>
      <c r="K90" s="10"/>
      <c r="M90" s="1" t="s">
        <v>98</v>
      </c>
      <c r="N90" s="1" t="s">
        <v>99</v>
      </c>
      <c r="O90" s="1" t="s">
        <v>14</v>
      </c>
      <c r="P90" s="10"/>
      <c r="Q90" s="11"/>
      <c r="R90" s="1">
        <v>1</v>
      </c>
      <c r="T90" t="s">
        <v>336</v>
      </c>
      <c r="U90" t="s">
        <v>188</v>
      </c>
      <c r="V90" s="3" t="s">
        <v>349</v>
      </c>
    </row>
    <row r="91" spans="1:22" x14ac:dyDescent="0.25">
      <c r="A91" s="2">
        <v>45748</v>
      </c>
      <c r="B91" t="s">
        <v>254</v>
      </c>
      <c r="C91" t="s">
        <v>255</v>
      </c>
      <c r="D91" s="3" t="s">
        <v>350</v>
      </c>
      <c r="E91" s="10"/>
      <c r="F91" s="1" t="s">
        <v>11</v>
      </c>
      <c r="G91" s="10"/>
      <c r="H91" s="1"/>
      <c r="I91" s="10"/>
      <c r="J91" s="10"/>
      <c r="K91" s="10"/>
      <c r="L91" s="10"/>
      <c r="M91" s="1" t="s">
        <v>104</v>
      </c>
      <c r="N91" s="1" t="s">
        <v>99</v>
      </c>
      <c r="O91" s="1" t="s">
        <v>12</v>
      </c>
      <c r="P91" s="10"/>
      <c r="Q91" s="14">
        <v>45768</v>
      </c>
      <c r="R91" s="1">
        <v>1</v>
      </c>
      <c r="S91" s="23" t="s">
        <v>351</v>
      </c>
      <c r="T91" t="s">
        <v>59</v>
      </c>
      <c r="U91" t="s">
        <v>99</v>
      </c>
      <c r="V91" s="3"/>
    </row>
    <row r="92" spans="1:22" x14ac:dyDescent="0.25">
      <c r="A92" s="2">
        <v>45321</v>
      </c>
      <c r="B92" s="2" t="s">
        <v>95</v>
      </c>
      <c r="C92" t="s">
        <v>151</v>
      </c>
      <c r="D92" t="s">
        <v>352</v>
      </c>
      <c r="F92" t="s">
        <v>15</v>
      </c>
      <c r="G92" s="3"/>
      <c r="H92" t="s">
        <v>353</v>
      </c>
      <c r="I92" s="3"/>
      <c r="J92" s="3"/>
      <c r="K92" s="3"/>
      <c r="M92" t="s">
        <v>98</v>
      </c>
      <c r="N92" s="1" t="s">
        <v>99</v>
      </c>
      <c r="O92" t="s">
        <v>14</v>
      </c>
      <c r="Q92" s="14"/>
      <c r="R92" s="1">
        <v>1</v>
      </c>
      <c r="T92" t="s">
        <v>336</v>
      </c>
      <c r="U92" t="s">
        <v>188</v>
      </c>
      <c r="V92" s="3" t="s">
        <v>354</v>
      </c>
    </row>
    <row r="93" spans="1:22" x14ac:dyDescent="0.25">
      <c r="D93" s="18" t="s">
        <v>355</v>
      </c>
      <c r="E93" s="18"/>
      <c r="F93" t="s">
        <v>11</v>
      </c>
      <c r="G93" s="3"/>
      <c r="I93" s="3"/>
      <c r="J93" s="3"/>
      <c r="K93" s="3"/>
      <c r="M93" t="s">
        <v>98</v>
      </c>
      <c r="N93" s="1"/>
      <c r="O93" t="s">
        <v>14</v>
      </c>
      <c r="Q93" s="14"/>
      <c r="R93">
        <v>1</v>
      </c>
      <c r="T93" t="s">
        <v>194</v>
      </c>
      <c r="U93"/>
      <c r="V93" s="3"/>
    </row>
    <row r="94" spans="1:22" x14ac:dyDescent="0.25">
      <c r="A94" s="2">
        <v>45321</v>
      </c>
      <c r="B94" s="2" t="s">
        <v>95</v>
      </c>
      <c r="C94" t="s">
        <v>151</v>
      </c>
      <c r="D94" t="s">
        <v>356</v>
      </c>
      <c r="F94" t="s">
        <v>15</v>
      </c>
      <c r="G94" s="3"/>
      <c r="H94" t="s">
        <v>348</v>
      </c>
      <c r="I94" s="3"/>
      <c r="J94" s="3"/>
      <c r="K94" s="3"/>
      <c r="M94" t="s">
        <v>98</v>
      </c>
      <c r="N94" s="1" t="s">
        <v>99</v>
      </c>
      <c r="O94" t="s">
        <v>14</v>
      </c>
      <c r="Q94" s="14"/>
      <c r="R94" s="1">
        <v>1</v>
      </c>
      <c r="T94" t="s">
        <v>336</v>
      </c>
      <c r="U94" t="s">
        <v>188</v>
      </c>
      <c r="V94" s="3" t="s">
        <v>337</v>
      </c>
    </row>
    <row r="95" spans="1:22" x14ac:dyDescent="0.25">
      <c r="A95" s="2">
        <v>45321</v>
      </c>
      <c r="B95" s="2" t="s">
        <v>95</v>
      </c>
      <c r="C95" t="s">
        <v>151</v>
      </c>
      <c r="D95" t="s">
        <v>357</v>
      </c>
      <c r="F95" t="s">
        <v>15</v>
      </c>
      <c r="G95" s="3"/>
      <c r="H95" t="s">
        <v>196</v>
      </c>
      <c r="I95" s="3"/>
      <c r="J95" s="3"/>
      <c r="K95" s="3"/>
      <c r="M95" t="s">
        <v>98</v>
      </c>
      <c r="N95" t="s">
        <v>99</v>
      </c>
      <c r="O95" s="1" t="s">
        <v>14</v>
      </c>
      <c r="Q95" s="14"/>
      <c r="R95" s="1">
        <v>1</v>
      </c>
      <c r="T95" t="s">
        <v>336</v>
      </c>
      <c r="U95" t="s">
        <v>188</v>
      </c>
      <c r="V95" s="3" t="s">
        <v>349</v>
      </c>
    </row>
    <row r="96" spans="1:22" x14ac:dyDescent="0.25">
      <c r="A96" s="2">
        <v>45352</v>
      </c>
      <c r="B96" t="s">
        <v>95</v>
      </c>
      <c r="C96" t="s">
        <v>95</v>
      </c>
      <c r="D96" s="27" t="s">
        <v>358</v>
      </c>
      <c r="E96" s="1"/>
      <c r="F96" s="1" t="s">
        <v>17</v>
      </c>
      <c r="G96" s="10"/>
      <c r="H96" s="1"/>
      <c r="I96" s="10"/>
      <c r="J96" s="10"/>
      <c r="K96" s="10"/>
      <c r="L96" s="10"/>
      <c r="M96" s="1"/>
      <c r="N96" s="1"/>
      <c r="O96" s="1" t="s">
        <v>14</v>
      </c>
      <c r="P96" s="10"/>
      <c r="Q96" s="11"/>
      <c r="R96" s="1">
        <v>0</v>
      </c>
      <c r="T96" t="s">
        <v>359</v>
      </c>
      <c r="U96" t="s">
        <v>360</v>
      </c>
      <c r="V96" s="3"/>
    </row>
    <row r="97" spans="1:22" ht="45" x14ac:dyDescent="0.25">
      <c r="A97" s="2">
        <v>45527</v>
      </c>
      <c r="B97" s="2"/>
      <c r="C97" t="s">
        <v>281</v>
      </c>
      <c r="D97" t="s">
        <v>361</v>
      </c>
      <c r="F97" t="s">
        <v>11</v>
      </c>
      <c r="G97" s="3"/>
      <c r="H97" t="s">
        <v>283</v>
      </c>
      <c r="I97" s="3" t="s">
        <v>284</v>
      </c>
      <c r="J97" s="3"/>
      <c r="K97" s="3"/>
      <c r="M97" t="s">
        <v>98</v>
      </c>
      <c r="N97" s="1" t="s">
        <v>99</v>
      </c>
      <c r="O97" t="s">
        <v>14</v>
      </c>
      <c r="Q97" s="14">
        <v>45597</v>
      </c>
      <c r="R97">
        <v>1</v>
      </c>
      <c r="S97" s="23" t="s">
        <v>362</v>
      </c>
      <c r="T97" t="s">
        <v>286</v>
      </c>
      <c r="U97" t="s">
        <v>99</v>
      </c>
      <c r="V97" s="3" t="s">
        <v>363</v>
      </c>
    </row>
    <row r="98" spans="1:22" x14ac:dyDescent="0.25">
      <c r="A98" s="2">
        <v>45364</v>
      </c>
      <c r="B98" s="2"/>
      <c r="C98" t="s">
        <v>364</v>
      </c>
      <c r="D98" s="27" t="s">
        <v>365</v>
      </c>
      <c r="F98" t="s">
        <v>198</v>
      </c>
      <c r="G98" s="3"/>
      <c r="I98" s="3"/>
      <c r="J98" s="3"/>
      <c r="K98" s="3"/>
      <c r="M98" t="s">
        <v>104</v>
      </c>
      <c r="O98" t="s">
        <v>14</v>
      </c>
      <c r="Q98" s="14"/>
      <c r="R98">
        <v>0</v>
      </c>
      <c r="T98" t="s">
        <v>366</v>
      </c>
      <c r="U98" t="s">
        <v>360</v>
      </c>
      <c r="V98" s="3"/>
    </row>
    <row r="99" spans="1:22" ht="150" x14ac:dyDescent="0.25">
      <c r="A99" s="2">
        <v>45558</v>
      </c>
      <c r="B99" t="s">
        <v>95</v>
      </c>
      <c r="C99" t="s">
        <v>328</v>
      </c>
      <c r="D99" t="s">
        <v>367</v>
      </c>
      <c r="E99" s="3" t="s">
        <v>368</v>
      </c>
      <c r="F99" t="s">
        <v>15</v>
      </c>
      <c r="G99" s="3"/>
      <c r="I99" s="3"/>
      <c r="J99" s="3"/>
      <c r="K99" s="3"/>
      <c r="M99" t="s">
        <v>98</v>
      </c>
      <c r="N99" t="s">
        <v>99</v>
      </c>
      <c r="O99" t="s">
        <v>14</v>
      </c>
      <c r="Q99" s="14"/>
      <c r="R99">
        <v>1</v>
      </c>
      <c r="S99" s="23" t="s">
        <v>369</v>
      </c>
      <c r="T99" t="s">
        <v>308</v>
      </c>
      <c r="U99" t="s">
        <v>99</v>
      </c>
      <c r="V99" s="3" t="s">
        <v>328</v>
      </c>
    </row>
    <row r="100" spans="1:22" ht="45" x14ac:dyDescent="0.25">
      <c r="A100" s="2">
        <v>45558</v>
      </c>
      <c r="B100" t="s">
        <v>95</v>
      </c>
      <c r="C100" t="s">
        <v>328</v>
      </c>
      <c r="D100" t="s">
        <v>370</v>
      </c>
      <c r="E100" s="3" t="s">
        <v>371</v>
      </c>
      <c r="F100" t="s">
        <v>15</v>
      </c>
      <c r="G100" s="3"/>
      <c r="I100" s="3"/>
      <c r="J100" s="3"/>
      <c r="K100" s="3"/>
      <c r="M100" t="s">
        <v>98</v>
      </c>
      <c r="N100" t="s">
        <v>99</v>
      </c>
      <c r="O100" t="s">
        <v>14</v>
      </c>
      <c r="Q100" s="14"/>
      <c r="R100">
        <v>1</v>
      </c>
      <c r="S100" s="23" t="s">
        <v>372</v>
      </c>
      <c r="T100" t="s">
        <v>308</v>
      </c>
      <c r="U100" t="s">
        <v>99</v>
      </c>
      <c r="V100" s="3" t="s">
        <v>328</v>
      </c>
    </row>
    <row r="101" spans="1:22" x14ac:dyDescent="0.25">
      <c r="A101" s="2">
        <v>45364</v>
      </c>
      <c r="B101" s="2"/>
      <c r="C101" t="s">
        <v>364</v>
      </c>
      <c r="D101" s="27" t="s">
        <v>373</v>
      </c>
      <c r="F101" t="s">
        <v>198</v>
      </c>
      <c r="G101" s="3"/>
      <c r="I101" s="3"/>
      <c r="J101" s="3"/>
      <c r="K101" s="3"/>
      <c r="M101" t="s">
        <v>104</v>
      </c>
      <c r="O101" t="s">
        <v>14</v>
      </c>
      <c r="Q101" s="14"/>
      <c r="R101">
        <v>0</v>
      </c>
      <c r="T101" t="s">
        <v>366</v>
      </c>
      <c r="U101" t="s">
        <v>360</v>
      </c>
      <c r="V101" s="3"/>
    </row>
    <row r="102" spans="1:22" ht="45" x14ac:dyDescent="0.25">
      <c r="A102" s="2">
        <v>45527</v>
      </c>
      <c r="B102" s="2" t="s">
        <v>95</v>
      </c>
      <c r="C102" t="s">
        <v>281</v>
      </c>
      <c r="D102" t="s">
        <v>123</v>
      </c>
      <c r="E102" t="s">
        <v>124</v>
      </c>
      <c r="F102" t="s">
        <v>11</v>
      </c>
      <c r="G102" s="3"/>
      <c r="H102" t="s">
        <v>283</v>
      </c>
      <c r="I102" s="3" t="s">
        <v>284</v>
      </c>
      <c r="J102" s="3"/>
      <c r="K102" s="3"/>
      <c r="M102" t="s">
        <v>98</v>
      </c>
      <c r="N102" t="s">
        <v>99</v>
      </c>
      <c r="O102" t="s">
        <v>14</v>
      </c>
      <c r="Q102" s="14">
        <v>45596</v>
      </c>
      <c r="R102">
        <v>1</v>
      </c>
      <c r="S102" s="23" t="s">
        <v>374</v>
      </c>
      <c r="T102" t="s">
        <v>286</v>
      </c>
      <c r="U102" t="s">
        <v>99</v>
      </c>
      <c r="V102" s="3" t="s">
        <v>375</v>
      </c>
    </row>
    <row r="103" spans="1:22" ht="120" x14ac:dyDescent="0.25">
      <c r="A103" s="2">
        <v>45505</v>
      </c>
      <c r="B103" t="s">
        <v>208</v>
      </c>
      <c r="C103" t="s">
        <v>209</v>
      </c>
      <c r="D103" t="s">
        <v>376</v>
      </c>
      <c r="E103" s="3" t="s">
        <v>377</v>
      </c>
      <c r="F103" t="s">
        <v>11</v>
      </c>
      <c r="G103" s="3"/>
      <c r="I103" s="3"/>
      <c r="J103" s="3"/>
      <c r="K103" s="3"/>
      <c r="M103" s="1" t="s">
        <v>140</v>
      </c>
      <c r="N103" s="1" t="s">
        <v>99</v>
      </c>
      <c r="O103" t="s">
        <v>12</v>
      </c>
      <c r="Q103" s="14">
        <v>45890</v>
      </c>
      <c r="R103">
        <v>2</v>
      </c>
      <c r="S103" s="23" t="s">
        <v>378</v>
      </c>
      <c r="T103" t="s">
        <v>213</v>
      </c>
      <c r="U103" t="s">
        <v>99</v>
      </c>
      <c r="V103" s="3"/>
    </row>
    <row r="104" spans="1:22" x14ac:dyDescent="0.25">
      <c r="A104" s="2">
        <v>45527</v>
      </c>
      <c r="B104" s="2"/>
      <c r="C104" t="s">
        <v>281</v>
      </c>
      <c r="D104" t="s">
        <v>379</v>
      </c>
      <c r="F104" t="s">
        <v>198</v>
      </c>
      <c r="G104" s="3"/>
      <c r="H104" t="s">
        <v>348</v>
      </c>
      <c r="I104" s="3"/>
      <c r="J104" s="3"/>
      <c r="K104" s="3"/>
      <c r="M104" s="1" t="s">
        <v>98</v>
      </c>
      <c r="N104" s="1" t="s">
        <v>99</v>
      </c>
      <c r="O104" s="1" t="s">
        <v>14</v>
      </c>
      <c r="Q104" s="14">
        <v>45587</v>
      </c>
      <c r="R104">
        <v>1</v>
      </c>
      <c r="S104" s="23" t="s">
        <v>380</v>
      </c>
      <c r="T104" t="s">
        <v>286</v>
      </c>
      <c r="U104" t="s">
        <v>99</v>
      </c>
      <c r="V104" s="3" t="s">
        <v>381</v>
      </c>
    </row>
    <row r="105" spans="1:22" ht="105" x14ac:dyDescent="0.25">
      <c r="A105" s="2">
        <v>45505</v>
      </c>
      <c r="B105" t="s">
        <v>208</v>
      </c>
      <c r="C105" t="s">
        <v>209</v>
      </c>
      <c r="D105" t="s">
        <v>382</v>
      </c>
      <c r="E105" s="3" t="s">
        <v>383</v>
      </c>
      <c r="F105" t="s">
        <v>11</v>
      </c>
      <c r="G105" s="3"/>
      <c r="I105" s="3"/>
      <c r="J105" s="3"/>
      <c r="K105" s="3"/>
      <c r="M105" s="1" t="s">
        <v>140</v>
      </c>
      <c r="N105" t="s">
        <v>99</v>
      </c>
      <c r="O105" t="s">
        <v>12</v>
      </c>
      <c r="P105" s="3" t="s">
        <v>384</v>
      </c>
      <c r="Q105" s="14">
        <v>45890</v>
      </c>
      <c r="R105">
        <v>2</v>
      </c>
      <c r="S105" s="23" t="s">
        <v>385</v>
      </c>
      <c r="T105" t="s">
        <v>213</v>
      </c>
      <c r="U105" t="s">
        <v>99</v>
      </c>
      <c r="V105" s="3"/>
    </row>
    <row r="106" spans="1:22" x14ac:dyDescent="0.25">
      <c r="A106" s="2">
        <v>45321</v>
      </c>
      <c r="B106" s="2" t="s">
        <v>95</v>
      </c>
      <c r="C106" t="s">
        <v>151</v>
      </c>
      <c r="D106" t="s">
        <v>386</v>
      </c>
      <c r="F106" t="s">
        <v>11</v>
      </c>
      <c r="G106" s="3"/>
      <c r="H106" t="s">
        <v>196</v>
      </c>
      <c r="I106" s="3"/>
      <c r="J106" s="3"/>
      <c r="K106" s="3"/>
      <c r="M106" t="s">
        <v>98</v>
      </c>
      <c r="O106" s="1" t="s">
        <v>14</v>
      </c>
      <c r="Q106" s="14"/>
      <c r="R106" s="1">
        <v>1</v>
      </c>
      <c r="T106" t="s">
        <v>336</v>
      </c>
      <c r="U106" t="s">
        <v>188</v>
      </c>
      <c r="V106" s="3" t="s">
        <v>349</v>
      </c>
    </row>
    <row r="107" spans="1:22" ht="30" x14ac:dyDescent="0.25">
      <c r="A107" s="2">
        <v>45457</v>
      </c>
      <c r="B107" s="2"/>
      <c r="C107" t="s">
        <v>239</v>
      </c>
      <c r="D107" t="s">
        <v>387</v>
      </c>
      <c r="F107" t="s">
        <v>17</v>
      </c>
      <c r="G107" s="3"/>
      <c r="I107" s="3"/>
      <c r="J107" s="3"/>
      <c r="K107" s="15">
        <v>45751</v>
      </c>
      <c r="L107" s="3" t="s">
        <v>262</v>
      </c>
      <c r="M107" s="1" t="s">
        <v>104</v>
      </c>
      <c r="N107" s="1"/>
      <c r="O107" t="s">
        <v>12</v>
      </c>
      <c r="Q107" s="14"/>
      <c r="R107">
        <v>0</v>
      </c>
      <c r="S107" s="23" t="s">
        <v>388</v>
      </c>
      <c r="T107" t="s">
        <v>244</v>
      </c>
      <c r="U107" t="s">
        <v>99</v>
      </c>
      <c r="V107" s="3"/>
    </row>
    <row r="108" spans="1:22" x14ac:dyDescent="0.25">
      <c r="A108" s="2">
        <v>45727</v>
      </c>
      <c r="B108" t="s">
        <v>143</v>
      </c>
      <c r="C108" t="s">
        <v>151</v>
      </c>
      <c r="D108" s="1" t="s">
        <v>49</v>
      </c>
      <c r="E108" s="1"/>
      <c r="F108" s="1" t="s">
        <v>15</v>
      </c>
      <c r="G108" s="10"/>
      <c r="H108" s="1"/>
      <c r="I108" s="10"/>
      <c r="J108" s="10"/>
      <c r="K108" s="13">
        <v>45839</v>
      </c>
      <c r="L108" s="10"/>
      <c r="M108" s="1" t="s">
        <v>98</v>
      </c>
      <c r="N108" t="s">
        <v>99</v>
      </c>
      <c r="O108" s="1" t="s">
        <v>14</v>
      </c>
      <c r="P108" s="10"/>
      <c r="Q108" s="11">
        <v>45847</v>
      </c>
      <c r="R108">
        <v>2</v>
      </c>
      <c r="S108" s="23" t="s">
        <v>389</v>
      </c>
      <c r="T108" t="s">
        <v>46</v>
      </c>
      <c r="U108" t="s">
        <v>99</v>
      </c>
      <c r="V108" s="3"/>
    </row>
    <row r="109" spans="1:22" ht="30" x14ac:dyDescent="0.25">
      <c r="A109" s="2">
        <v>45457</v>
      </c>
      <c r="B109" s="2"/>
      <c r="C109" t="s">
        <v>239</v>
      </c>
      <c r="D109" s="1" t="s">
        <v>390</v>
      </c>
      <c r="E109" s="1"/>
      <c r="F109" s="1" t="s">
        <v>17</v>
      </c>
      <c r="G109" s="10"/>
      <c r="H109" s="1"/>
      <c r="I109" s="10"/>
      <c r="J109" s="10"/>
      <c r="K109" s="13">
        <v>45751</v>
      </c>
      <c r="L109" s="10" t="s">
        <v>262</v>
      </c>
      <c r="M109" s="1" t="s">
        <v>104</v>
      </c>
      <c r="N109" s="1"/>
      <c r="O109" s="1" t="s">
        <v>12</v>
      </c>
      <c r="P109" s="10"/>
      <c r="Q109" s="11"/>
      <c r="R109">
        <v>0</v>
      </c>
      <c r="S109" s="23" t="s">
        <v>391</v>
      </c>
      <c r="T109" t="s">
        <v>244</v>
      </c>
      <c r="U109" t="s">
        <v>99</v>
      </c>
      <c r="V109" s="3"/>
    </row>
    <row r="110" spans="1:22" ht="45" x14ac:dyDescent="0.25">
      <c r="A110" s="2">
        <v>45527</v>
      </c>
      <c r="B110" s="2"/>
      <c r="C110" t="s">
        <v>281</v>
      </c>
      <c r="D110" t="s">
        <v>392</v>
      </c>
      <c r="F110" t="s">
        <v>11</v>
      </c>
      <c r="G110" s="3"/>
      <c r="H110" t="s">
        <v>283</v>
      </c>
      <c r="I110" s="3" t="s">
        <v>284</v>
      </c>
      <c r="J110" s="3"/>
      <c r="K110" s="3"/>
      <c r="M110" t="s">
        <v>98</v>
      </c>
      <c r="N110" s="1" t="s">
        <v>99</v>
      </c>
      <c r="O110" t="s">
        <v>14</v>
      </c>
      <c r="Q110" s="14">
        <v>45596</v>
      </c>
      <c r="R110">
        <v>1</v>
      </c>
      <c r="S110" s="23" t="s">
        <v>393</v>
      </c>
      <c r="T110" t="s">
        <v>286</v>
      </c>
      <c r="U110" t="s">
        <v>99</v>
      </c>
      <c r="V110" s="3" t="s">
        <v>394</v>
      </c>
    </row>
    <row r="111" spans="1:22" x14ac:dyDescent="0.25">
      <c r="A111" s="2">
        <v>45364</v>
      </c>
      <c r="B111" s="2"/>
      <c r="C111" t="s">
        <v>364</v>
      </c>
      <c r="D111" s="27" t="s">
        <v>395</v>
      </c>
      <c r="E111" s="18"/>
      <c r="F111" t="s">
        <v>17</v>
      </c>
      <c r="G111" s="3"/>
      <c r="I111" s="3"/>
      <c r="J111" s="3"/>
      <c r="K111" s="3"/>
      <c r="N111" s="1"/>
      <c r="O111" t="s">
        <v>14</v>
      </c>
      <c r="Q111" s="14"/>
      <c r="R111">
        <v>0</v>
      </c>
      <c r="T111" t="s">
        <v>194</v>
      </c>
      <c r="U111"/>
      <c r="V111" s="3"/>
    </row>
    <row r="112" spans="1:22" ht="120" x14ac:dyDescent="0.25">
      <c r="A112" s="2">
        <v>45558</v>
      </c>
      <c r="B112" t="s">
        <v>95</v>
      </c>
      <c r="C112" t="s">
        <v>328</v>
      </c>
      <c r="D112" t="s">
        <v>396</v>
      </c>
      <c r="E112" s="3" t="s">
        <v>397</v>
      </c>
      <c r="F112" t="s">
        <v>15</v>
      </c>
      <c r="G112" s="3"/>
      <c r="I112" s="3"/>
      <c r="J112" s="3"/>
      <c r="K112" s="3"/>
      <c r="M112" t="s">
        <v>98</v>
      </c>
      <c r="N112" s="1" t="s">
        <v>99</v>
      </c>
      <c r="O112" t="s">
        <v>14</v>
      </c>
      <c r="Q112" s="14"/>
      <c r="R112">
        <v>1</v>
      </c>
      <c r="S112" s="23" t="s">
        <v>398</v>
      </c>
      <c r="T112" t="s">
        <v>308</v>
      </c>
      <c r="U112" t="s">
        <v>99</v>
      </c>
      <c r="V112" s="3" t="s">
        <v>328</v>
      </c>
    </row>
    <row r="113" spans="1:22" ht="45" x14ac:dyDescent="0.25">
      <c r="A113" s="2">
        <v>45558</v>
      </c>
      <c r="B113" t="s">
        <v>95</v>
      </c>
      <c r="C113" t="s">
        <v>328</v>
      </c>
      <c r="D113" t="s">
        <v>399</v>
      </c>
      <c r="E113" s="3" t="s">
        <v>400</v>
      </c>
      <c r="F113" t="s">
        <v>11</v>
      </c>
      <c r="G113" s="3"/>
      <c r="I113" s="3"/>
      <c r="J113" s="3"/>
      <c r="K113" s="3"/>
      <c r="M113" s="1" t="s">
        <v>104</v>
      </c>
      <c r="N113" s="1" t="s">
        <v>99</v>
      </c>
      <c r="O113" t="s">
        <v>12</v>
      </c>
      <c r="Q113" s="14">
        <v>45680</v>
      </c>
      <c r="R113">
        <v>2</v>
      </c>
      <c r="S113" s="23" t="s">
        <v>401</v>
      </c>
      <c r="T113" t="s">
        <v>308</v>
      </c>
      <c r="U113" t="s">
        <v>99</v>
      </c>
      <c r="V113" s="3" t="s">
        <v>328</v>
      </c>
    </row>
    <row r="114" spans="1:22" x14ac:dyDescent="0.25">
      <c r="A114" s="2">
        <v>45627</v>
      </c>
      <c r="B114" t="s">
        <v>95</v>
      </c>
      <c r="C114" t="s">
        <v>288</v>
      </c>
      <c r="D114" t="s">
        <v>402</v>
      </c>
      <c r="E114" t="s">
        <v>124</v>
      </c>
      <c r="F114" t="s">
        <v>17</v>
      </c>
      <c r="G114" s="3"/>
      <c r="I114" s="3"/>
      <c r="J114" s="3"/>
      <c r="K114" s="3"/>
      <c r="M114" s="1" t="s">
        <v>104</v>
      </c>
      <c r="N114" s="1" t="s">
        <v>99</v>
      </c>
      <c r="O114" s="1" t="s">
        <v>12</v>
      </c>
      <c r="Q114" s="14"/>
      <c r="R114">
        <v>0</v>
      </c>
      <c r="S114" s="23" t="s">
        <v>403</v>
      </c>
      <c r="T114" t="s">
        <v>304</v>
      </c>
      <c r="U114" t="s">
        <v>99</v>
      </c>
      <c r="V114" s="3" t="s">
        <v>288</v>
      </c>
    </row>
    <row r="115" spans="1:22" x14ac:dyDescent="0.25">
      <c r="A115" s="2">
        <v>45352</v>
      </c>
      <c r="D115" t="s">
        <v>404</v>
      </c>
      <c r="F115" t="s">
        <v>17</v>
      </c>
      <c r="G115" s="3"/>
      <c r="I115" s="3"/>
      <c r="J115" s="3"/>
      <c r="K115" s="3"/>
      <c r="M115" t="s">
        <v>98</v>
      </c>
      <c r="N115" s="1" t="s">
        <v>99</v>
      </c>
      <c r="O115" s="1" t="s">
        <v>14</v>
      </c>
      <c r="Q115" s="14"/>
      <c r="R115">
        <v>1</v>
      </c>
      <c r="T115" t="s">
        <v>194</v>
      </c>
      <c r="U115"/>
      <c r="V115" s="3"/>
    </row>
    <row r="116" spans="1:22" ht="90" x14ac:dyDescent="0.25">
      <c r="A116" s="2">
        <v>45627</v>
      </c>
      <c r="B116" t="s">
        <v>95</v>
      </c>
      <c r="C116" t="s">
        <v>288</v>
      </c>
      <c r="D116" t="s">
        <v>405</v>
      </c>
      <c r="E116" s="3" t="s">
        <v>406</v>
      </c>
      <c r="F116" t="s">
        <v>17</v>
      </c>
      <c r="G116" s="3"/>
      <c r="I116" s="3"/>
      <c r="J116" s="3"/>
      <c r="K116" s="3"/>
      <c r="M116" s="1" t="s">
        <v>104</v>
      </c>
      <c r="N116" s="1" t="s">
        <v>99</v>
      </c>
      <c r="O116" s="1" t="s">
        <v>12</v>
      </c>
      <c r="Q116" s="14"/>
      <c r="R116">
        <v>0</v>
      </c>
      <c r="S116" s="23" t="s">
        <v>407</v>
      </c>
      <c r="T116" t="s">
        <v>304</v>
      </c>
      <c r="U116" t="s">
        <v>99</v>
      </c>
      <c r="V116" s="3" t="s">
        <v>288</v>
      </c>
    </row>
    <row r="117" spans="1:22" x14ac:dyDescent="0.25">
      <c r="A117" s="2">
        <v>45727</v>
      </c>
      <c r="B117" t="s">
        <v>143</v>
      </c>
      <c r="C117" t="s">
        <v>288</v>
      </c>
      <c r="D117" t="s">
        <v>55</v>
      </c>
      <c r="F117" t="s">
        <v>17</v>
      </c>
      <c r="G117" s="3"/>
      <c r="I117" s="3"/>
      <c r="J117" s="3"/>
      <c r="K117" s="15">
        <v>45870</v>
      </c>
      <c r="M117" s="1" t="s">
        <v>104</v>
      </c>
      <c r="N117" s="1" t="s">
        <v>99</v>
      </c>
      <c r="O117" s="1" t="s">
        <v>12</v>
      </c>
      <c r="Q117" s="14"/>
      <c r="R117">
        <v>0</v>
      </c>
      <c r="S117" s="23" t="s">
        <v>408</v>
      </c>
      <c r="T117" t="s">
        <v>46</v>
      </c>
      <c r="U117" t="s">
        <v>99</v>
      </c>
      <c r="V117" s="3"/>
    </row>
    <row r="118" spans="1:22" ht="45" x14ac:dyDescent="0.25">
      <c r="A118" s="2">
        <v>45527</v>
      </c>
      <c r="B118" s="2"/>
      <c r="C118" t="s">
        <v>281</v>
      </c>
      <c r="D118" t="s">
        <v>409</v>
      </c>
      <c r="F118" t="s">
        <v>17</v>
      </c>
      <c r="G118" s="3"/>
      <c r="H118" t="s">
        <v>410</v>
      </c>
      <c r="I118" s="3" t="s">
        <v>411</v>
      </c>
      <c r="J118" s="3"/>
      <c r="K118" s="3"/>
      <c r="M118" s="1" t="s">
        <v>104</v>
      </c>
      <c r="N118" s="1" t="s">
        <v>99</v>
      </c>
      <c r="O118" t="s">
        <v>12</v>
      </c>
      <c r="Q118" s="14">
        <v>45587</v>
      </c>
      <c r="R118">
        <v>1</v>
      </c>
      <c r="S118" s="23" t="s">
        <v>412</v>
      </c>
      <c r="T118" t="s">
        <v>286</v>
      </c>
      <c r="U118" t="s">
        <v>99</v>
      </c>
      <c r="V118" s="3" t="s">
        <v>413</v>
      </c>
    </row>
    <row r="119" spans="1:22" x14ac:dyDescent="0.25">
      <c r="A119" s="2">
        <v>45627</v>
      </c>
      <c r="B119" t="s">
        <v>95</v>
      </c>
      <c r="C119" t="s">
        <v>288</v>
      </c>
      <c r="D119" t="s">
        <v>414</v>
      </c>
      <c r="E119" t="s">
        <v>415</v>
      </c>
      <c r="F119" t="s">
        <v>17</v>
      </c>
      <c r="G119" s="3"/>
      <c r="I119" s="3"/>
      <c r="J119" s="3"/>
      <c r="K119" s="3"/>
      <c r="M119" s="1" t="s">
        <v>104</v>
      </c>
      <c r="N119" s="1" t="s">
        <v>99</v>
      </c>
      <c r="O119" s="1" t="s">
        <v>12</v>
      </c>
      <c r="Q119" s="14"/>
      <c r="R119">
        <v>0</v>
      </c>
      <c r="S119" s="23" t="s">
        <v>416</v>
      </c>
      <c r="T119" t="s">
        <v>304</v>
      </c>
      <c r="U119" t="s">
        <v>99</v>
      </c>
      <c r="V119" s="3" t="s">
        <v>288</v>
      </c>
    </row>
    <row r="120" spans="1:22" x14ac:dyDescent="0.25">
      <c r="A120" s="2">
        <v>45505</v>
      </c>
      <c r="B120" t="s">
        <v>208</v>
      </c>
      <c r="C120" t="s">
        <v>209</v>
      </c>
      <c r="D120" t="s">
        <v>417</v>
      </c>
      <c r="E120" t="s">
        <v>418</v>
      </c>
      <c r="F120" t="s">
        <v>17</v>
      </c>
      <c r="G120" s="3"/>
      <c r="I120" s="3"/>
      <c r="J120" s="3"/>
      <c r="K120" s="3"/>
      <c r="M120" s="1" t="s">
        <v>140</v>
      </c>
      <c r="N120" s="1" t="s">
        <v>99</v>
      </c>
      <c r="O120" t="s">
        <v>12</v>
      </c>
      <c r="Q120" s="14">
        <v>45890</v>
      </c>
      <c r="R120">
        <v>2</v>
      </c>
      <c r="S120" s="23" t="s">
        <v>419</v>
      </c>
      <c r="T120" t="s">
        <v>213</v>
      </c>
      <c r="U120" t="s">
        <v>99</v>
      </c>
      <c r="V120" s="3" t="s">
        <v>209</v>
      </c>
    </row>
    <row r="121" spans="1:22" x14ac:dyDescent="0.25">
      <c r="A121" s="2">
        <v>45505</v>
      </c>
      <c r="B121" t="s">
        <v>208</v>
      </c>
      <c r="C121" t="s">
        <v>209</v>
      </c>
      <c r="D121" t="s">
        <v>420</v>
      </c>
      <c r="E121" t="s">
        <v>418</v>
      </c>
      <c r="F121" t="s">
        <v>17</v>
      </c>
      <c r="G121" s="3"/>
      <c r="I121" s="3"/>
      <c r="J121" s="3"/>
      <c r="K121" s="3"/>
      <c r="M121" s="1" t="s">
        <v>140</v>
      </c>
      <c r="N121" s="1" t="s">
        <v>99</v>
      </c>
      <c r="O121" s="1" t="s">
        <v>12</v>
      </c>
      <c r="Q121" s="14">
        <v>45890</v>
      </c>
      <c r="R121">
        <v>2</v>
      </c>
      <c r="S121" s="23" t="s">
        <v>421</v>
      </c>
      <c r="T121" t="s">
        <v>213</v>
      </c>
      <c r="U121" t="s">
        <v>99</v>
      </c>
      <c r="V121" s="3" t="s">
        <v>209</v>
      </c>
    </row>
    <row r="122" spans="1:22" x14ac:dyDescent="0.25">
      <c r="A122" s="2">
        <v>45505</v>
      </c>
      <c r="B122" t="s">
        <v>208</v>
      </c>
      <c r="C122" t="s">
        <v>209</v>
      </c>
      <c r="D122" t="s">
        <v>422</v>
      </c>
      <c r="E122" t="s">
        <v>418</v>
      </c>
      <c r="F122" t="s">
        <v>17</v>
      </c>
      <c r="G122" s="3"/>
      <c r="I122" s="3"/>
      <c r="J122" s="3"/>
      <c r="K122" s="3"/>
      <c r="M122" s="1" t="s">
        <v>140</v>
      </c>
      <c r="N122" s="1" t="s">
        <v>99</v>
      </c>
      <c r="O122" s="1" t="s">
        <v>12</v>
      </c>
      <c r="Q122" s="14">
        <v>45890</v>
      </c>
      <c r="R122">
        <v>2</v>
      </c>
      <c r="S122" s="23" t="s">
        <v>423</v>
      </c>
      <c r="T122" t="s">
        <v>213</v>
      </c>
      <c r="U122" t="s">
        <v>99</v>
      </c>
      <c r="V122" s="3" t="s">
        <v>209</v>
      </c>
    </row>
    <row r="123" spans="1:22" x14ac:dyDescent="0.25">
      <c r="A123" s="2">
        <v>45627</v>
      </c>
      <c r="B123" t="s">
        <v>95</v>
      </c>
      <c r="C123" t="s">
        <v>288</v>
      </c>
      <c r="D123" s="1" t="s">
        <v>424</v>
      </c>
      <c r="E123" s="1" t="s">
        <v>425</v>
      </c>
      <c r="F123" s="1" t="s">
        <v>11</v>
      </c>
      <c r="G123" s="10"/>
      <c r="H123" s="1"/>
      <c r="I123" s="10"/>
      <c r="J123" s="10"/>
      <c r="K123" s="10"/>
      <c r="L123" s="10"/>
      <c r="M123" s="1" t="s">
        <v>104</v>
      </c>
      <c r="N123" s="1" t="s">
        <v>99</v>
      </c>
      <c r="O123" s="1" t="s">
        <v>12</v>
      </c>
      <c r="P123" s="10"/>
      <c r="Q123" s="11"/>
      <c r="R123">
        <v>0</v>
      </c>
      <c r="S123" s="23" t="s">
        <v>426</v>
      </c>
      <c r="T123" t="s">
        <v>304</v>
      </c>
      <c r="U123" t="s">
        <v>99</v>
      </c>
      <c r="V123" s="3" t="s">
        <v>288</v>
      </c>
    </row>
    <row r="124" spans="1:22" ht="60" x14ac:dyDescent="0.25">
      <c r="A124" s="2">
        <v>45627</v>
      </c>
      <c r="B124" t="s">
        <v>95</v>
      </c>
      <c r="C124" t="s">
        <v>288</v>
      </c>
      <c r="D124" t="s">
        <v>268</v>
      </c>
      <c r="E124" s="3" t="s">
        <v>269</v>
      </c>
      <c r="F124" s="1" t="s">
        <v>11</v>
      </c>
      <c r="G124" s="10"/>
      <c r="H124" s="1"/>
      <c r="I124" s="10"/>
      <c r="J124" s="10"/>
      <c r="K124" s="10"/>
      <c r="L124" s="10"/>
      <c r="M124" s="1" t="s">
        <v>98</v>
      </c>
      <c r="N124" s="1" t="s">
        <v>99</v>
      </c>
      <c r="O124" s="1" t="s">
        <v>14</v>
      </c>
      <c r="P124" s="10"/>
      <c r="Q124" s="11"/>
      <c r="R124" s="1">
        <v>3</v>
      </c>
      <c r="S124" s="23" t="s">
        <v>427</v>
      </c>
      <c r="T124" t="s">
        <v>304</v>
      </c>
      <c r="U124" t="s">
        <v>99</v>
      </c>
      <c r="V124" s="3" t="s">
        <v>288</v>
      </c>
    </row>
    <row r="125" spans="1:22" ht="45" x14ac:dyDescent="0.25">
      <c r="A125" s="2">
        <v>45558</v>
      </c>
      <c r="B125" t="s">
        <v>95</v>
      </c>
      <c r="C125" t="s">
        <v>328</v>
      </c>
      <c r="D125" s="1" t="s">
        <v>428</v>
      </c>
      <c r="E125" s="10" t="s">
        <v>429</v>
      </c>
      <c r="F125" s="1" t="s">
        <v>11</v>
      </c>
      <c r="G125" s="10"/>
      <c r="H125" s="1"/>
      <c r="I125" s="10"/>
      <c r="J125" s="10"/>
      <c r="K125" s="10"/>
      <c r="L125" s="10"/>
      <c r="M125" s="1" t="s">
        <v>98</v>
      </c>
      <c r="N125" s="1" t="s">
        <v>99</v>
      </c>
      <c r="O125" t="s">
        <v>14</v>
      </c>
      <c r="P125" s="10"/>
      <c r="Q125" s="11"/>
      <c r="R125" s="1">
        <v>1</v>
      </c>
      <c r="S125" s="23" t="s">
        <v>430</v>
      </c>
      <c r="T125" t="s">
        <v>308</v>
      </c>
      <c r="U125" t="s">
        <v>99</v>
      </c>
      <c r="V125" s="3" t="s">
        <v>328</v>
      </c>
    </row>
    <row r="126" spans="1:22" x14ac:dyDescent="0.25">
      <c r="A126" s="2">
        <v>45558</v>
      </c>
      <c r="B126" t="s">
        <v>95</v>
      </c>
      <c r="C126" t="s">
        <v>328</v>
      </c>
      <c r="D126" s="1" t="s">
        <v>431</v>
      </c>
      <c r="E126" s="1" t="s">
        <v>432</v>
      </c>
      <c r="F126" s="1" t="s">
        <v>11</v>
      </c>
      <c r="G126" s="10"/>
      <c r="H126" s="1"/>
      <c r="I126" s="10"/>
      <c r="J126" s="10"/>
      <c r="K126" s="10"/>
      <c r="L126" s="10"/>
      <c r="M126" s="1" t="s">
        <v>98</v>
      </c>
      <c r="N126" s="1" t="s">
        <v>99</v>
      </c>
      <c r="O126" s="1" t="s">
        <v>14</v>
      </c>
      <c r="P126" s="10"/>
      <c r="Q126" s="14">
        <v>45587</v>
      </c>
      <c r="R126" s="1">
        <v>1</v>
      </c>
      <c r="S126" s="23" t="s">
        <v>433</v>
      </c>
      <c r="T126" t="s">
        <v>308</v>
      </c>
      <c r="U126" t="s">
        <v>99</v>
      </c>
      <c r="V126" s="3" t="s">
        <v>328</v>
      </c>
    </row>
    <row r="127" spans="1:22" x14ac:dyDescent="0.25">
      <c r="A127" s="2">
        <v>45558</v>
      </c>
      <c r="B127" t="s">
        <v>95</v>
      </c>
      <c r="C127" t="s">
        <v>328</v>
      </c>
      <c r="D127" s="1" t="s">
        <v>434</v>
      </c>
      <c r="E127" s="1" t="s">
        <v>435</v>
      </c>
      <c r="F127" s="1" t="s">
        <v>11</v>
      </c>
      <c r="G127" s="10"/>
      <c r="H127" s="1"/>
      <c r="I127" s="10"/>
      <c r="J127" s="10"/>
      <c r="K127" s="10"/>
      <c r="L127" s="10"/>
      <c r="M127" s="1" t="s">
        <v>98</v>
      </c>
      <c r="N127" s="1" t="s">
        <v>99</v>
      </c>
      <c r="O127" s="1" t="s">
        <v>14</v>
      </c>
      <c r="P127" s="10"/>
      <c r="Q127" s="11">
        <v>45895</v>
      </c>
      <c r="R127" s="1">
        <v>2</v>
      </c>
      <c r="S127" s="23" t="s">
        <v>436</v>
      </c>
      <c r="T127" t="s">
        <v>308</v>
      </c>
      <c r="U127" t="s">
        <v>99</v>
      </c>
      <c r="V127" s="3" t="s">
        <v>328</v>
      </c>
    </row>
    <row r="128" spans="1:22" ht="90" x14ac:dyDescent="0.25">
      <c r="A128" s="2">
        <v>45558</v>
      </c>
      <c r="B128" t="s">
        <v>95</v>
      </c>
      <c r="C128" t="s">
        <v>437</v>
      </c>
      <c r="D128" s="1" t="s">
        <v>438</v>
      </c>
      <c r="E128" s="10" t="s">
        <v>439</v>
      </c>
      <c r="F128" s="1" t="s">
        <v>15</v>
      </c>
      <c r="G128" s="10"/>
      <c r="H128" s="1"/>
      <c r="I128" s="10"/>
      <c r="J128" s="8" t="s">
        <v>440</v>
      </c>
      <c r="K128" s="13"/>
      <c r="L128" s="10"/>
      <c r="M128" s="1" t="s">
        <v>98</v>
      </c>
      <c r="N128" s="1" t="s">
        <v>99</v>
      </c>
      <c r="O128" s="1" t="s">
        <v>14</v>
      </c>
      <c r="P128" s="10"/>
      <c r="Q128" s="11">
        <v>45728</v>
      </c>
      <c r="R128" s="1">
        <v>3</v>
      </c>
      <c r="T128" t="s">
        <v>441</v>
      </c>
      <c r="U128" t="s">
        <v>99</v>
      </c>
      <c r="V128" s="3" t="s">
        <v>437</v>
      </c>
    </row>
    <row r="129" spans="1:22" x14ac:dyDescent="0.25">
      <c r="A129" s="2">
        <v>45558</v>
      </c>
      <c r="B129" t="s">
        <v>95</v>
      </c>
      <c r="C129" t="s">
        <v>442</v>
      </c>
      <c r="D129" s="1" t="s">
        <v>443</v>
      </c>
      <c r="E129" s="1"/>
      <c r="F129" s="1" t="s">
        <v>15</v>
      </c>
      <c r="G129" s="10"/>
      <c r="H129" s="1"/>
      <c r="I129" s="10"/>
      <c r="J129" s="10"/>
      <c r="K129" s="3"/>
      <c r="L129" s="10"/>
      <c r="M129" s="1" t="s">
        <v>98</v>
      </c>
      <c r="N129" s="1" t="s">
        <v>99</v>
      </c>
      <c r="O129" s="1" t="s">
        <v>14</v>
      </c>
      <c r="P129" s="10"/>
      <c r="Q129" s="11"/>
      <c r="R129" s="1">
        <v>1</v>
      </c>
      <c r="T129" t="s">
        <v>444</v>
      </c>
      <c r="U129" t="s">
        <v>99</v>
      </c>
      <c r="V129" s="3" t="s">
        <v>445</v>
      </c>
    </row>
    <row r="130" spans="1:22" x14ac:dyDescent="0.25">
      <c r="A130" s="2">
        <v>45627</v>
      </c>
      <c r="B130" t="s">
        <v>95</v>
      </c>
      <c r="C130" t="s">
        <v>288</v>
      </c>
      <c r="D130" s="1" t="s">
        <v>446</v>
      </c>
      <c r="E130" s="1" t="s">
        <v>447</v>
      </c>
      <c r="F130" s="1" t="s">
        <v>17</v>
      </c>
      <c r="G130" s="10"/>
      <c r="H130" s="1"/>
      <c r="I130" s="10"/>
      <c r="J130" s="10"/>
      <c r="K130" s="10"/>
      <c r="L130" s="10"/>
      <c r="M130" s="1" t="s">
        <v>104</v>
      </c>
      <c r="N130" s="1" t="s">
        <v>99</v>
      </c>
      <c r="O130" s="1" t="s">
        <v>12</v>
      </c>
      <c r="P130" s="10"/>
      <c r="Q130" s="11"/>
      <c r="R130" s="1">
        <v>0</v>
      </c>
      <c r="S130" s="23" t="s">
        <v>448</v>
      </c>
      <c r="T130" t="s">
        <v>304</v>
      </c>
      <c r="U130" t="s">
        <v>99</v>
      </c>
      <c r="V130" s="3" t="s">
        <v>288</v>
      </c>
    </row>
    <row r="131" spans="1:22" ht="90" x14ac:dyDescent="0.25">
      <c r="A131" s="2">
        <v>45558</v>
      </c>
      <c r="B131" t="s">
        <v>95</v>
      </c>
      <c r="C131" t="s">
        <v>449</v>
      </c>
      <c r="D131" s="1" t="s">
        <v>450</v>
      </c>
      <c r="E131" s="10" t="s">
        <v>451</v>
      </c>
      <c r="F131" s="1" t="s">
        <v>15</v>
      </c>
      <c r="G131" s="10"/>
      <c r="H131" s="1"/>
      <c r="I131" s="10"/>
      <c r="J131" s="10"/>
      <c r="K131" s="10"/>
      <c r="L131" s="10"/>
      <c r="M131" s="1" t="s">
        <v>98</v>
      </c>
      <c r="N131" s="1" t="s">
        <v>99</v>
      </c>
      <c r="O131" s="1" t="s">
        <v>14</v>
      </c>
      <c r="P131" s="10"/>
      <c r="Q131" s="11"/>
      <c r="R131" s="1">
        <v>1</v>
      </c>
      <c r="T131" t="s">
        <v>444</v>
      </c>
      <c r="U131" t="s">
        <v>99</v>
      </c>
      <c r="V131" s="3" t="s">
        <v>452</v>
      </c>
    </row>
    <row r="132" spans="1:22" ht="60" x14ac:dyDescent="0.25">
      <c r="A132" s="2">
        <v>45558</v>
      </c>
      <c r="B132" t="s">
        <v>95</v>
      </c>
      <c r="C132" t="s">
        <v>437</v>
      </c>
      <c r="D132" s="1" t="s">
        <v>453</v>
      </c>
      <c r="E132" s="10" t="s">
        <v>454</v>
      </c>
      <c r="F132" s="1" t="s">
        <v>15</v>
      </c>
      <c r="G132" s="10"/>
      <c r="H132" s="1"/>
      <c r="I132" s="10"/>
      <c r="J132" s="10"/>
      <c r="K132" s="10"/>
      <c r="L132" s="10"/>
      <c r="M132" s="1" t="s">
        <v>98</v>
      </c>
      <c r="N132" s="1" t="s">
        <v>99</v>
      </c>
      <c r="O132" s="1" t="s">
        <v>14</v>
      </c>
      <c r="P132" s="10"/>
      <c r="Q132" s="11"/>
      <c r="R132" s="1">
        <v>3</v>
      </c>
      <c r="T132" t="s">
        <v>441</v>
      </c>
      <c r="U132" t="s">
        <v>99</v>
      </c>
      <c r="V132" s="3" t="s">
        <v>437</v>
      </c>
    </row>
    <row r="133" spans="1:22" x14ac:dyDescent="0.25">
      <c r="A133" s="2">
        <v>45558</v>
      </c>
      <c r="B133" t="s">
        <v>95</v>
      </c>
      <c r="C133" t="s">
        <v>437</v>
      </c>
      <c r="D133" s="1" t="s">
        <v>455</v>
      </c>
      <c r="E133" s="1" t="s">
        <v>103</v>
      </c>
      <c r="F133" s="1" t="s">
        <v>11</v>
      </c>
      <c r="G133" s="10"/>
      <c r="H133" s="1"/>
      <c r="I133" s="10"/>
      <c r="J133" s="8" t="s">
        <v>440</v>
      </c>
      <c r="K133" s="13">
        <v>45657</v>
      </c>
      <c r="L133" s="10"/>
      <c r="M133" s="1" t="s">
        <v>98</v>
      </c>
      <c r="N133" s="1" t="s">
        <v>99</v>
      </c>
      <c r="O133" s="1" t="s">
        <v>14</v>
      </c>
      <c r="P133" s="10"/>
      <c r="Q133" s="11">
        <v>45728</v>
      </c>
      <c r="R133" s="1">
        <v>5</v>
      </c>
      <c r="T133" t="s">
        <v>441</v>
      </c>
      <c r="U133" t="s">
        <v>99</v>
      </c>
      <c r="V133" s="3" t="s">
        <v>437</v>
      </c>
    </row>
    <row r="134" spans="1:22" ht="45" x14ac:dyDescent="0.25">
      <c r="A134" s="2">
        <v>45527</v>
      </c>
      <c r="B134" s="2"/>
      <c r="C134" t="s">
        <v>281</v>
      </c>
      <c r="D134" s="1" t="s">
        <v>456</v>
      </c>
      <c r="E134" s="1"/>
      <c r="F134" s="1" t="s">
        <v>11</v>
      </c>
      <c r="G134" s="10"/>
      <c r="H134" s="1" t="s">
        <v>283</v>
      </c>
      <c r="I134" s="10" t="s">
        <v>284</v>
      </c>
      <c r="J134" s="10"/>
      <c r="K134" s="10"/>
      <c r="L134" s="10"/>
      <c r="M134" s="1" t="s">
        <v>98</v>
      </c>
      <c r="N134" s="1" t="s">
        <v>99</v>
      </c>
      <c r="O134" s="1" t="s">
        <v>14</v>
      </c>
      <c r="P134" s="10"/>
      <c r="Q134" s="11">
        <v>45596</v>
      </c>
      <c r="R134" s="1">
        <v>1</v>
      </c>
      <c r="S134" s="23" t="s">
        <v>457</v>
      </c>
      <c r="T134" t="s">
        <v>286</v>
      </c>
      <c r="U134" t="s">
        <v>99</v>
      </c>
      <c r="V134" s="3" t="s">
        <v>394</v>
      </c>
    </row>
    <row r="135" spans="1:22" x14ac:dyDescent="0.25">
      <c r="A135" s="2">
        <v>45457</v>
      </c>
      <c r="B135" s="2"/>
      <c r="C135" t="s">
        <v>239</v>
      </c>
      <c r="D135" s="1" t="s">
        <v>458</v>
      </c>
      <c r="E135" s="1"/>
      <c r="F135" s="1" t="s">
        <v>17</v>
      </c>
      <c r="G135" s="10" t="s">
        <v>459</v>
      </c>
      <c r="H135" s="1"/>
      <c r="I135" s="10"/>
      <c r="J135" s="10"/>
      <c r="K135" s="10"/>
      <c r="L135" s="10"/>
      <c r="M135" s="1" t="s">
        <v>104</v>
      </c>
      <c r="N135" s="1"/>
      <c r="O135" s="1" t="s">
        <v>12</v>
      </c>
      <c r="P135" s="10"/>
      <c r="Q135" s="11"/>
      <c r="R135" s="1">
        <v>0</v>
      </c>
      <c r="S135" s="23" t="s">
        <v>460</v>
      </c>
      <c r="T135" t="s">
        <v>244</v>
      </c>
      <c r="U135" t="s">
        <v>99</v>
      </c>
      <c r="V135" s="3"/>
    </row>
    <row r="136" spans="1:22" x14ac:dyDescent="0.25">
      <c r="A136" s="2">
        <v>45727</v>
      </c>
      <c r="B136" t="s">
        <v>143</v>
      </c>
      <c r="C136" t="s">
        <v>288</v>
      </c>
      <c r="D136" t="s">
        <v>48</v>
      </c>
      <c r="F136" s="1" t="s">
        <v>17</v>
      </c>
      <c r="G136" s="10"/>
      <c r="H136" s="1"/>
      <c r="I136" s="10"/>
      <c r="J136" s="10"/>
      <c r="K136" s="13">
        <v>45870</v>
      </c>
      <c r="L136" s="10"/>
      <c r="M136" s="1" t="s">
        <v>104</v>
      </c>
      <c r="N136" s="1" t="s">
        <v>99</v>
      </c>
      <c r="O136" s="1" t="s">
        <v>12</v>
      </c>
      <c r="P136" s="10"/>
      <c r="Q136" s="11"/>
      <c r="R136" s="1">
        <v>1</v>
      </c>
      <c r="S136" s="23" t="s">
        <v>461</v>
      </c>
      <c r="T136" t="s">
        <v>46</v>
      </c>
      <c r="U136" t="s">
        <v>99</v>
      </c>
      <c r="V136" s="3"/>
    </row>
    <row r="137" spans="1:22" x14ac:dyDescent="0.25">
      <c r="A137" s="2">
        <v>45364</v>
      </c>
      <c r="B137" s="2"/>
      <c r="C137" t="s">
        <v>364</v>
      </c>
      <c r="D137" s="27" t="s">
        <v>462</v>
      </c>
      <c r="E137" s="1"/>
      <c r="F137" s="1" t="s">
        <v>198</v>
      </c>
      <c r="G137" s="10"/>
      <c r="H137" s="1"/>
      <c r="I137" s="10"/>
      <c r="J137" s="10"/>
      <c r="K137" s="10"/>
      <c r="L137" s="10"/>
      <c r="M137" s="1" t="s">
        <v>104</v>
      </c>
      <c r="N137" s="1"/>
      <c r="O137" s="1" t="s">
        <v>14</v>
      </c>
      <c r="P137" s="10"/>
      <c r="Q137" s="11"/>
      <c r="R137" s="1">
        <v>0</v>
      </c>
      <c r="T137" t="s">
        <v>366</v>
      </c>
      <c r="U137" t="s">
        <v>360</v>
      </c>
      <c r="V137" s="3"/>
    </row>
    <row r="138" spans="1:22" x14ac:dyDescent="0.25">
      <c r="A138" s="2">
        <v>45627</v>
      </c>
      <c r="B138" t="s">
        <v>95</v>
      </c>
      <c r="C138" t="s">
        <v>288</v>
      </c>
      <c r="D138" s="1" t="s">
        <v>463</v>
      </c>
      <c r="E138" s="1" t="s">
        <v>447</v>
      </c>
      <c r="F138" s="1" t="s">
        <v>17</v>
      </c>
      <c r="G138" s="10"/>
      <c r="H138" s="1"/>
      <c r="I138" s="10"/>
      <c r="J138" s="10"/>
      <c r="K138" s="10"/>
      <c r="L138" s="10"/>
      <c r="M138" s="1" t="s">
        <v>104</v>
      </c>
      <c r="N138" s="1" t="s">
        <v>99</v>
      </c>
      <c r="O138" s="1" t="s">
        <v>12</v>
      </c>
      <c r="P138" s="10"/>
      <c r="Q138" s="11"/>
      <c r="R138" s="1">
        <v>0</v>
      </c>
      <c r="S138" s="23" t="s">
        <v>464</v>
      </c>
      <c r="T138" t="s">
        <v>304</v>
      </c>
      <c r="U138" t="s">
        <v>99</v>
      </c>
      <c r="V138" s="3" t="s">
        <v>288</v>
      </c>
    </row>
    <row r="139" spans="1:22" x14ac:dyDescent="0.25">
      <c r="A139" s="2">
        <v>45627</v>
      </c>
      <c r="B139" t="s">
        <v>95</v>
      </c>
      <c r="C139" t="s">
        <v>288</v>
      </c>
      <c r="D139" s="1" t="s">
        <v>465</v>
      </c>
      <c r="E139" s="1" t="s">
        <v>447</v>
      </c>
      <c r="F139" s="1" t="s">
        <v>17</v>
      </c>
      <c r="G139" s="10"/>
      <c r="H139" s="1"/>
      <c r="I139" s="10"/>
      <c r="J139" s="10"/>
      <c r="K139" s="10"/>
      <c r="L139" s="10"/>
      <c r="M139" s="1" t="s">
        <v>104</v>
      </c>
      <c r="N139" s="1" t="s">
        <v>99</v>
      </c>
      <c r="O139" s="1" t="s">
        <v>12</v>
      </c>
      <c r="P139" s="10"/>
      <c r="Q139" s="11"/>
      <c r="R139" s="1">
        <v>0</v>
      </c>
      <c r="S139" s="23" t="s">
        <v>466</v>
      </c>
      <c r="T139" t="s">
        <v>304</v>
      </c>
      <c r="U139" t="s">
        <v>99</v>
      </c>
      <c r="V139" s="3" t="s">
        <v>288</v>
      </c>
    </row>
    <row r="140" spans="1:22" ht="120" x14ac:dyDescent="0.25">
      <c r="A140" s="2">
        <v>45627</v>
      </c>
      <c r="B140" t="s">
        <v>95</v>
      </c>
      <c r="C140" t="s">
        <v>288</v>
      </c>
      <c r="D140" s="1" t="s">
        <v>56</v>
      </c>
      <c r="E140" s="10" t="s">
        <v>467</v>
      </c>
      <c r="F140" s="1" t="s">
        <v>17</v>
      </c>
      <c r="G140" s="10"/>
      <c r="H140" s="1"/>
      <c r="I140" s="10"/>
      <c r="J140" s="10"/>
      <c r="K140" s="10"/>
      <c r="L140" s="10"/>
      <c r="M140" s="1" t="s">
        <v>104</v>
      </c>
      <c r="N140" s="1" t="s">
        <v>99</v>
      </c>
      <c r="O140" s="1" t="s">
        <v>12</v>
      </c>
      <c r="P140" s="10"/>
      <c r="Q140" s="11"/>
      <c r="R140" s="1">
        <v>0</v>
      </c>
      <c r="S140" s="23" t="s">
        <v>468</v>
      </c>
      <c r="T140" t="s">
        <v>304</v>
      </c>
      <c r="U140" t="s">
        <v>99</v>
      </c>
      <c r="V140" s="3" t="s">
        <v>288</v>
      </c>
    </row>
    <row r="141" spans="1:22" x14ac:dyDescent="0.25">
      <c r="A141" s="2">
        <v>45558</v>
      </c>
      <c r="B141" t="s">
        <v>95</v>
      </c>
      <c r="C141" t="s">
        <v>151</v>
      </c>
      <c r="D141" s="1" t="s">
        <v>469</v>
      </c>
      <c r="E141" s="1"/>
      <c r="F141" s="1" t="s">
        <v>17</v>
      </c>
      <c r="G141" s="10"/>
      <c r="H141" s="1"/>
      <c r="I141" s="10"/>
      <c r="J141" s="10"/>
      <c r="K141" s="10"/>
      <c r="L141" s="10"/>
      <c r="M141" s="1" t="s">
        <v>98</v>
      </c>
      <c r="N141" s="1" t="s">
        <v>99</v>
      </c>
      <c r="O141" s="1" t="s">
        <v>14</v>
      </c>
      <c r="P141" s="10"/>
      <c r="Q141" s="11"/>
      <c r="R141" s="1">
        <v>2</v>
      </c>
      <c r="T141" t="s">
        <v>470</v>
      </c>
      <c r="U141" t="s">
        <v>99</v>
      </c>
      <c r="V141" s="3"/>
    </row>
    <row r="142" spans="1:22" ht="120" x14ac:dyDescent="0.25">
      <c r="A142" s="2">
        <v>45505</v>
      </c>
      <c r="B142" t="s">
        <v>208</v>
      </c>
      <c r="C142" t="s">
        <v>209</v>
      </c>
      <c r="D142" s="1" t="s">
        <v>471</v>
      </c>
      <c r="E142" s="10" t="s">
        <v>377</v>
      </c>
      <c r="F142" s="1" t="s">
        <v>11</v>
      </c>
      <c r="G142" s="10"/>
      <c r="H142" s="1"/>
      <c r="I142" s="10"/>
      <c r="J142" s="10"/>
      <c r="K142" s="10"/>
      <c r="L142" s="10"/>
      <c r="M142" s="1" t="s">
        <v>98</v>
      </c>
      <c r="N142" s="1" t="s">
        <v>99</v>
      </c>
      <c r="O142" s="1" t="s">
        <v>14</v>
      </c>
      <c r="P142" s="10"/>
      <c r="Q142" s="11">
        <v>45785</v>
      </c>
      <c r="R142" s="1">
        <v>2</v>
      </c>
      <c r="S142" s="23" t="s">
        <v>472</v>
      </c>
      <c r="T142" t="s">
        <v>213</v>
      </c>
      <c r="U142" t="s">
        <v>99</v>
      </c>
      <c r="V142" s="3"/>
    </row>
    <row r="143" spans="1:22" ht="45" x14ac:dyDescent="0.25">
      <c r="A143" s="2">
        <v>45457</v>
      </c>
      <c r="B143" s="2"/>
      <c r="C143" t="s">
        <v>239</v>
      </c>
      <c r="D143" s="1" t="s">
        <v>473</v>
      </c>
      <c r="E143" s="1"/>
      <c r="F143" s="1" t="s">
        <v>11</v>
      </c>
      <c r="G143" s="10"/>
      <c r="H143" s="1"/>
      <c r="I143" s="10"/>
      <c r="J143" s="10"/>
      <c r="K143" s="13">
        <v>45905</v>
      </c>
      <c r="L143" s="10" t="s">
        <v>258</v>
      </c>
      <c r="M143" s="1" t="s">
        <v>104</v>
      </c>
      <c r="N143" s="1"/>
      <c r="O143" s="1" t="s">
        <v>12</v>
      </c>
      <c r="P143" s="10"/>
      <c r="Q143" s="11"/>
      <c r="R143" s="1">
        <v>0</v>
      </c>
      <c r="S143" s="23" t="s">
        <v>474</v>
      </c>
      <c r="T143" t="s">
        <v>244</v>
      </c>
      <c r="U143" t="s">
        <v>99</v>
      </c>
      <c r="V143" s="3"/>
    </row>
    <row r="144" spans="1:22" x14ac:dyDescent="0.25">
      <c r="A144" s="2">
        <v>45627</v>
      </c>
      <c r="B144" t="s">
        <v>95</v>
      </c>
      <c r="C144" t="s">
        <v>288</v>
      </c>
      <c r="D144" t="s">
        <v>475</v>
      </c>
      <c r="E144" t="s">
        <v>124</v>
      </c>
      <c r="F144" s="1" t="s">
        <v>17</v>
      </c>
      <c r="G144" s="10"/>
      <c r="H144" s="1"/>
      <c r="I144" s="10"/>
      <c r="J144" s="10"/>
      <c r="K144" s="10"/>
      <c r="L144" s="10"/>
      <c r="M144" s="1" t="s">
        <v>104</v>
      </c>
      <c r="N144" s="1" t="s">
        <v>99</v>
      </c>
      <c r="O144" s="1" t="s">
        <v>12</v>
      </c>
      <c r="P144" s="10"/>
      <c r="Q144" s="11"/>
      <c r="R144" s="1">
        <v>0</v>
      </c>
      <c r="S144" s="23" t="s">
        <v>476</v>
      </c>
      <c r="T144" t="s">
        <v>304</v>
      </c>
      <c r="U144" t="s">
        <v>99</v>
      </c>
      <c r="V144" s="3" t="s">
        <v>288</v>
      </c>
    </row>
    <row r="145" spans="1:22" ht="30" x14ac:dyDescent="0.25">
      <c r="A145" s="2">
        <v>45527</v>
      </c>
      <c r="B145" s="2"/>
      <c r="C145" t="s">
        <v>281</v>
      </c>
      <c r="D145" t="s">
        <v>477</v>
      </c>
      <c r="F145" s="1" t="s">
        <v>11</v>
      </c>
      <c r="G145" s="10"/>
      <c r="H145" s="1" t="s">
        <v>478</v>
      </c>
      <c r="I145" s="10" t="s">
        <v>479</v>
      </c>
      <c r="J145" s="10"/>
      <c r="K145" s="10"/>
      <c r="L145" s="10"/>
      <c r="M145" s="1" t="s">
        <v>98</v>
      </c>
      <c r="N145" s="1" t="s">
        <v>99</v>
      </c>
      <c r="O145" s="1" t="s">
        <v>14</v>
      </c>
      <c r="P145" s="10"/>
      <c r="Q145" s="11">
        <v>45587</v>
      </c>
      <c r="R145" s="1">
        <v>1</v>
      </c>
      <c r="S145" s="23" t="s">
        <v>480</v>
      </c>
      <c r="T145" t="s">
        <v>286</v>
      </c>
      <c r="U145" t="s">
        <v>99</v>
      </c>
      <c r="V145" s="3" t="s">
        <v>381</v>
      </c>
    </row>
    <row r="146" spans="1:22" x14ac:dyDescent="0.25">
      <c r="A146" s="2">
        <v>45231</v>
      </c>
      <c r="C146" t="s">
        <v>481</v>
      </c>
      <c r="D146" s="1" t="s">
        <v>482</v>
      </c>
      <c r="E146" s="1"/>
      <c r="F146" s="1" t="s">
        <v>11</v>
      </c>
      <c r="G146" s="10"/>
      <c r="H146" s="1"/>
      <c r="I146" s="10"/>
      <c r="J146" s="10" t="s">
        <v>483</v>
      </c>
      <c r="K146" s="10"/>
      <c r="L146" s="10"/>
      <c r="M146" s="1" t="s">
        <v>98</v>
      </c>
      <c r="N146" s="1"/>
      <c r="O146" s="1" t="s">
        <v>14</v>
      </c>
      <c r="P146" s="10"/>
      <c r="Q146" s="11"/>
      <c r="R146" s="1">
        <v>1</v>
      </c>
      <c r="T146" t="s">
        <v>194</v>
      </c>
      <c r="U146" t="s">
        <v>360</v>
      </c>
      <c r="V146" s="3"/>
    </row>
    <row r="147" spans="1:22" x14ac:dyDescent="0.25">
      <c r="A147" s="2">
        <v>45627</v>
      </c>
      <c r="B147" t="s">
        <v>95</v>
      </c>
      <c r="C147" t="s">
        <v>288</v>
      </c>
      <c r="D147" s="1" t="s">
        <v>484</v>
      </c>
      <c r="E147" s="1" t="s">
        <v>485</v>
      </c>
      <c r="F147" s="1" t="s">
        <v>17</v>
      </c>
      <c r="G147" s="10"/>
      <c r="H147" s="1"/>
      <c r="I147" s="10"/>
      <c r="J147" s="10"/>
      <c r="K147" s="10"/>
      <c r="L147" s="10"/>
      <c r="M147" s="1" t="s">
        <v>104</v>
      </c>
      <c r="N147" s="1" t="s">
        <v>99</v>
      </c>
      <c r="O147" s="1" t="s">
        <v>12</v>
      </c>
      <c r="P147" s="10"/>
      <c r="Q147" s="11"/>
      <c r="R147" s="1">
        <v>0</v>
      </c>
      <c r="S147" s="23" t="s">
        <v>486</v>
      </c>
      <c r="T147" t="s">
        <v>304</v>
      </c>
      <c r="U147" t="s">
        <v>99</v>
      </c>
      <c r="V147" s="3" t="s">
        <v>288</v>
      </c>
    </row>
    <row r="148" spans="1:22" ht="75" x14ac:dyDescent="0.25">
      <c r="A148" s="2">
        <v>45558</v>
      </c>
      <c r="B148" t="s">
        <v>95</v>
      </c>
      <c r="C148" t="s">
        <v>487</v>
      </c>
      <c r="D148" s="1" t="s">
        <v>488</v>
      </c>
      <c r="E148" s="10" t="s">
        <v>489</v>
      </c>
      <c r="F148" s="1" t="s">
        <v>15</v>
      </c>
      <c r="G148" s="10"/>
      <c r="H148" s="1"/>
      <c r="I148" s="10"/>
      <c r="J148" s="10"/>
      <c r="K148" s="10"/>
      <c r="L148" s="10"/>
      <c r="M148" s="1" t="s">
        <v>98</v>
      </c>
      <c r="N148" s="1" t="s">
        <v>99</v>
      </c>
      <c r="O148" s="1" t="s">
        <v>14</v>
      </c>
      <c r="P148" s="10"/>
      <c r="Q148" s="11"/>
      <c r="R148" s="1">
        <v>1</v>
      </c>
      <c r="T148" t="s">
        <v>444</v>
      </c>
      <c r="U148" t="s">
        <v>99</v>
      </c>
      <c r="V148" s="3" t="s">
        <v>452</v>
      </c>
    </row>
    <row r="149" spans="1:22" x14ac:dyDescent="0.25">
      <c r="D149" s="7" t="s">
        <v>490</v>
      </c>
      <c r="E149" s="7"/>
      <c r="F149" s="1" t="s">
        <v>11</v>
      </c>
      <c r="G149" s="10"/>
      <c r="H149" s="1"/>
      <c r="I149" s="10"/>
      <c r="J149" s="10"/>
      <c r="K149" s="10"/>
      <c r="L149" s="10"/>
      <c r="M149" s="1" t="s">
        <v>104</v>
      </c>
      <c r="N149" s="1"/>
      <c r="O149" s="1" t="s">
        <v>12</v>
      </c>
      <c r="P149" s="10"/>
      <c r="Q149" s="11"/>
      <c r="R149" s="1">
        <v>1</v>
      </c>
      <c r="T149" t="s">
        <v>194</v>
      </c>
      <c r="U149"/>
      <c r="V149" s="3"/>
    </row>
    <row r="150" spans="1:22" x14ac:dyDescent="0.25">
      <c r="A150" s="2"/>
      <c r="B150" t="s">
        <v>95</v>
      </c>
      <c r="C150" t="s">
        <v>167</v>
      </c>
      <c r="D150" s="10" t="s">
        <v>491</v>
      </c>
      <c r="E150" s="10"/>
      <c r="F150" s="1" t="s">
        <v>11</v>
      </c>
      <c r="G150" s="10"/>
      <c r="H150" s="1"/>
      <c r="I150" s="10"/>
      <c r="J150" s="10"/>
      <c r="K150" s="10"/>
      <c r="L150" s="10"/>
      <c r="M150" s="1" t="s">
        <v>98</v>
      </c>
      <c r="N150" s="1" t="s">
        <v>99</v>
      </c>
      <c r="O150" s="1" t="s">
        <v>14</v>
      </c>
      <c r="P150" s="10"/>
      <c r="Q150" s="11"/>
      <c r="R150" s="1">
        <v>1</v>
      </c>
      <c r="T150" t="s">
        <v>194</v>
      </c>
      <c r="U150"/>
      <c r="V150" s="3"/>
    </row>
    <row r="151" spans="1:22" x14ac:dyDescent="0.25">
      <c r="A151" s="2">
        <v>45727</v>
      </c>
      <c r="B151" t="s">
        <v>143</v>
      </c>
      <c r="C151" t="s">
        <v>492</v>
      </c>
      <c r="D151" s="1" t="s">
        <v>57</v>
      </c>
      <c r="E151" s="1"/>
      <c r="F151" s="1" t="s">
        <v>11</v>
      </c>
      <c r="G151" s="10"/>
      <c r="H151" s="1"/>
      <c r="I151" s="10"/>
      <c r="J151" s="10"/>
      <c r="K151" s="13">
        <v>45839</v>
      </c>
      <c r="L151" s="10"/>
      <c r="M151" s="1" t="s">
        <v>104</v>
      </c>
      <c r="N151" s="1" t="s">
        <v>99</v>
      </c>
      <c r="O151" s="1" t="s">
        <v>12</v>
      </c>
      <c r="P151" s="10"/>
      <c r="Q151" s="11"/>
      <c r="R151" s="1">
        <v>0</v>
      </c>
      <c r="S151" s="23" t="s">
        <v>493</v>
      </c>
      <c r="T151" t="s">
        <v>46</v>
      </c>
      <c r="U151" t="s">
        <v>99</v>
      </c>
      <c r="V151" s="3"/>
    </row>
    <row r="152" spans="1:22" x14ac:dyDescent="0.25">
      <c r="A152" s="2">
        <v>45558</v>
      </c>
      <c r="B152" t="s">
        <v>95</v>
      </c>
      <c r="D152" s="1" t="s">
        <v>494</v>
      </c>
      <c r="E152" s="1"/>
      <c r="F152" s="1" t="s">
        <v>11</v>
      </c>
      <c r="G152" s="10"/>
      <c r="H152" s="1"/>
      <c r="I152" s="10"/>
      <c r="J152" s="10"/>
      <c r="K152" s="10"/>
      <c r="L152" s="10"/>
      <c r="M152" s="1" t="s">
        <v>98</v>
      </c>
      <c r="N152" s="1" t="s">
        <v>99</v>
      </c>
      <c r="O152" s="1" t="s">
        <v>14</v>
      </c>
      <c r="P152" s="10"/>
      <c r="Q152" s="11"/>
      <c r="R152" s="1">
        <v>1</v>
      </c>
      <c r="T152" t="s">
        <v>444</v>
      </c>
      <c r="U152" t="s">
        <v>99</v>
      </c>
      <c r="V152" s="3"/>
    </row>
    <row r="153" spans="1:22" x14ac:dyDescent="0.25">
      <c r="A153" s="2">
        <v>45323</v>
      </c>
      <c r="B153" s="2"/>
      <c r="C153" t="s">
        <v>495</v>
      </c>
      <c r="D153" s="1" t="s">
        <v>496</v>
      </c>
      <c r="E153" s="1"/>
      <c r="F153" s="1" t="s">
        <v>17</v>
      </c>
      <c r="G153" s="10"/>
      <c r="H153" s="1" t="s">
        <v>196</v>
      </c>
      <c r="I153" s="10"/>
      <c r="J153" s="10"/>
      <c r="K153" s="10"/>
      <c r="L153" s="10"/>
      <c r="M153" s="1" t="s">
        <v>98</v>
      </c>
      <c r="N153" s="1"/>
      <c r="O153" s="1" t="s">
        <v>14</v>
      </c>
      <c r="P153" s="10"/>
      <c r="Q153" s="11"/>
      <c r="R153" s="1">
        <v>1</v>
      </c>
      <c r="T153" t="s">
        <v>497</v>
      </c>
      <c r="U153" t="s">
        <v>188</v>
      </c>
      <c r="V153" s="3" t="s">
        <v>495</v>
      </c>
    </row>
    <row r="154" spans="1:22" ht="75" x14ac:dyDescent="0.25">
      <c r="A154" s="2">
        <v>45457</v>
      </c>
      <c r="B154" s="2"/>
      <c r="C154" t="s">
        <v>239</v>
      </c>
      <c r="D154" s="1" t="s">
        <v>498</v>
      </c>
      <c r="E154" s="10" t="s">
        <v>499</v>
      </c>
      <c r="F154" s="1" t="s">
        <v>11</v>
      </c>
      <c r="G154" s="10"/>
      <c r="H154" s="1"/>
      <c r="I154" s="10"/>
      <c r="J154" s="10"/>
      <c r="K154" s="13">
        <v>45905</v>
      </c>
      <c r="L154" s="10" t="s">
        <v>258</v>
      </c>
      <c r="M154" s="1" t="s">
        <v>104</v>
      </c>
      <c r="N154" s="1" t="s">
        <v>99</v>
      </c>
      <c r="O154" s="1" t="s">
        <v>12</v>
      </c>
      <c r="P154" s="10" t="s">
        <v>500</v>
      </c>
      <c r="Q154" s="11"/>
      <c r="R154" s="1">
        <v>2</v>
      </c>
      <c r="S154" s="23" t="s">
        <v>501</v>
      </c>
      <c r="T154" t="s">
        <v>244</v>
      </c>
      <c r="U154" t="s">
        <v>99</v>
      </c>
      <c r="V154" s="3"/>
    </row>
    <row r="155" spans="1:22" x14ac:dyDescent="0.25">
      <c r="A155" s="2">
        <v>45558</v>
      </c>
      <c r="B155" t="s">
        <v>95</v>
      </c>
      <c r="C155" t="s">
        <v>502</v>
      </c>
      <c r="D155" s="1" t="s">
        <v>503</v>
      </c>
      <c r="E155" s="1"/>
      <c r="F155" s="1" t="s">
        <v>11</v>
      </c>
      <c r="G155" s="10"/>
      <c r="H155" s="1"/>
      <c r="I155" s="10"/>
      <c r="J155" s="10"/>
      <c r="K155" s="10"/>
      <c r="L155" s="10"/>
      <c r="M155" s="1" t="s">
        <v>98</v>
      </c>
      <c r="N155" s="1" t="s">
        <v>99</v>
      </c>
      <c r="O155" s="1" t="s">
        <v>14</v>
      </c>
      <c r="P155" s="10"/>
      <c r="Q155" s="11"/>
      <c r="R155" s="1">
        <v>1</v>
      </c>
      <c r="T155" t="s">
        <v>444</v>
      </c>
      <c r="U155" t="s">
        <v>99</v>
      </c>
      <c r="V155" s="3"/>
    </row>
    <row r="156" spans="1:22" x14ac:dyDescent="0.25">
      <c r="A156" s="2">
        <v>45323</v>
      </c>
      <c r="B156" s="2"/>
      <c r="C156" t="s">
        <v>495</v>
      </c>
      <c r="D156" s="1" t="s">
        <v>504</v>
      </c>
      <c r="E156" s="1"/>
      <c r="F156" s="1" t="s">
        <v>198</v>
      </c>
      <c r="G156" s="10"/>
      <c r="H156" s="1" t="s">
        <v>348</v>
      </c>
      <c r="I156" s="10"/>
      <c r="J156" s="10"/>
      <c r="K156" s="10"/>
      <c r="L156" s="10"/>
      <c r="M156" s="1" t="s">
        <v>98</v>
      </c>
      <c r="N156" s="1"/>
      <c r="O156" s="1" t="s">
        <v>14</v>
      </c>
      <c r="P156" s="10"/>
      <c r="Q156" s="11"/>
      <c r="R156" s="1">
        <v>1</v>
      </c>
      <c r="T156" t="s">
        <v>497</v>
      </c>
      <c r="U156" t="s">
        <v>188</v>
      </c>
      <c r="V156" s="3" t="s">
        <v>495</v>
      </c>
    </row>
    <row r="157" spans="1:22" x14ac:dyDescent="0.25">
      <c r="A157" s="2">
        <v>45457</v>
      </c>
      <c r="B157" s="2"/>
      <c r="C157" t="s">
        <v>239</v>
      </c>
      <c r="D157" s="1" t="s">
        <v>505</v>
      </c>
      <c r="E157" s="1"/>
      <c r="F157" s="1" t="s">
        <v>11</v>
      </c>
      <c r="G157" s="10"/>
      <c r="H157" s="1"/>
      <c r="I157" s="10"/>
      <c r="J157" s="10"/>
      <c r="K157" s="10"/>
      <c r="L157" s="10"/>
      <c r="M157" s="1" t="s">
        <v>104</v>
      </c>
      <c r="N157" s="1"/>
      <c r="O157" s="1" t="s">
        <v>12</v>
      </c>
      <c r="P157" s="10"/>
      <c r="Q157" s="11"/>
      <c r="R157" s="1">
        <v>0</v>
      </c>
      <c r="S157" s="23" t="s">
        <v>506</v>
      </c>
      <c r="T157" t="s">
        <v>244</v>
      </c>
      <c r="U157" t="s">
        <v>99</v>
      </c>
      <c r="V157" s="3"/>
    </row>
    <row r="158" spans="1:22" ht="30" x14ac:dyDescent="0.25">
      <c r="A158" s="2">
        <v>45457</v>
      </c>
      <c r="B158" s="2"/>
      <c r="C158" t="s">
        <v>239</v>
      </c>
      <c r="D158" s="1" t="s">
        <v>507</v>
      </c>
      <c r="E158" s="1"/>
      <c r="F158" s="1" t="s">
        <v>11</v>
      </c>
      <c r="G158" s="10"/>
      <c r="H158" s="1"/>
      <c r="I158" s="10"/>
      <c r="J158" s="10"/>
      <c r="K158" s="13">
        <v>45737</v>
      </c>
      <c r="L158" s="10" t="s">
        <v>241</v>
      </c>
      <c r="M158" s="1" t="s">
        <v>104</v>
      </c>
      <c r="N158" s="1"/>
      <c r="O158" s="1" t="s">
        <v>12</v>
      </c>
      <c r="P158" s="10"/>
      <c r="Q158" s="11"/>
      <c r="R158" s="1">
        <v>0</v>
      </c>
      <c r="S158" s="23" t="s">
        <v>508</v>
      </c>
      <c r="T158" t="s">
        <v>244</v>
      </c>
      <c r="U158" t="s">
        <v>99</v>
      </c>
      <c r="V158" s="3"/>
    </row>
    <row r="159" spans="1:22" x14ac:dyDescent="0.25">
      <c r="A159" s="2">
        <v>45323</v>
      </c>
      <c r="B159" s="2"/>
      <c r="C159" t="s">
        <v>495</v>
      </c>
      <c r="D159" s="1" t="s">
        <v>509</v>
      </c>
      <c r="E159" s="1"/>
      <c r="F159" s="1" t="s">
        <v>198</v>
      </c>
      <c r="G159" s="10"/>
      <c r="H159" s="1" t="s">
        <v>196</v>
      </c>
      <c r="I159" s="10"/>
      <c r="J159" s="10"/>
      <c r="K159" s="10"/>
      <c r="L159" s="10"/>
      <c r="M159" s="1" t="s">
        <v>98</v>
      </c>
      <c r="N159" s="1"/>
      <c r="O159" s="1" t="s">
        <v>14</v>
      </c>
      <c r="P159" s="10"/>
      <c r="Q159" s="11"/>
      <c r="R159" s="1">
        <v>1</v>
      </c>
      <c r="T159" t="s">
        <v>497</v>
      </c>
      <c r="U159" t="s">
        <v>188</v>
      </c>
      <c r="V159" s="3" t="s">
        <v>495</v>
      </c>
    </row>
    <row r="160" spans="1:22" ht="45" x14ac:dyDescent="0.25">
      <c r="A160" s="2">
        <v>45457</v>
      </c>
      <c r="B160" s="2"/>
      <c r="C160" t="s">
        <v>239</v>
      </c>
      <c r="D160" s="1" t="s">
        <v>510</v>
      </c>
      <c r="E160" s="1"/>
      <c r="F160" s="1" t="s">
        <v>11</v>
      </c>
      <c r="G160" s="10"/>
      <c r="H160" s="1"/>
      <c r="I160" s="10"/>
      <c r="J160" s="10"/>
      <c r="K160" s="13">
        <v>45905</v>
      </c>
      <c r="L160" s="10" t="s">
        <v>258</v>
      </c>
      <c r="M160" s="1" t="s">
        <v>104</v>
      </c>
      <c r="N160" s="1"/>
      <c r="O160" s="1" t="s">
        <v>12</v>
      </c>
      <c r="P160" s="10"/>
      <c r="Q160" s="11"/>
      <c r="R160" s="1">
        <v>0</v>
      </c>
      <c r="S160" s="23" t="s">
        <v>511</v>
      </c>
      <c r="T160" t="s">
        <v>244</v>
      </c>
      <c r="U160" t="s">
        <v>99</v>
      </c>
      <c r="V160" s="3"/>
    </row>
    <row r="161" spans="1:22" x14ac:dyDescent="0.25">
      <c r="A161" s="2">
        <v>45323</v>
      </c>
      <c r="B161" s="2"/>
      <c r="C161" t="s">
        <v>495</v>
      </c>
      <c r="D161" s="1" t="s">
        <v>512</v>
      </c>
      <c r="E161" s="1"/>
      <c r="F161" s="1" t="s">
        <v>17</v>
      </c>
      <c r="G161" s="10"/>
      <c r="H161" s="1" t="s">
        <v>196</v>
      </c>
      <c r="I161" s="10"/>
      <c r="J161" s="10"/>
      <c r="K161" s="10"/>
      <c r="L161" s="10"/>
      <c r="M161" s="1" t="s">
        <v>98</v>
      </c>
      <c r="N161" s="1"/>
      <c r="O161" s="1" t="s">
        <v>14</v>
      </c>
      <c r="P161" s="10"/>
      <c r="Q161" s="11"/>
      <c r="R161" s="1">
        <v>1</v>
      </c>
      <c r="S161"/>
      <c r="T161" t="s">
        <v>497</v>
      </c>
      <c r="U161" t="s">
        <v>188</v>
      </c>
      <c r="V161" s="3" t="s">
        <v>495</v>
      </c>
    </row>
    <row r="162" spans="1:22" x14ac:dyDescent="0.25">
      <c r="A162" s="2">
        <v>45364</v>
      </c>
      <c r="B162" s="2"/>
      <c r="C162" t="s">
        <v>513</v>
      </c>
      <c r="D162" s="1" t="s">
        <v>514</v>
      </c>
      <c r="E162" s="1"/>
      <c r="F162" s="1" t="s">
        <v>11</v>
      </c>
      <c r="G162" s="10"/>
      <c r="H162" s="1"/>
      <c r="I162" s="10"/>
      <c r="J162" s="10"/>
      <c r="K162" s="10"/>
      <c r="L162" s="10"/>
      <c r="M162" s="1" t="s">
        <v>104</v>
      </c>
      <c r="N162" s="1"/>
      <c r="O162" s="1" t="s">
        <v>12</v>
      </c>
      <c r="P162" s="10"/>
      <c r="Q162" s="11"/>
      <c r="R162" s="1">
        <v>0</v>
      </c>
      <c r="S162"/>
      <c r="T162" t="s">
        <v>515</v>
      </c>
      <c r="U162" t="s">
        <v>516</v>
      </c>
      <c r="V162" s="3"/>
    </row>
    <row r="163" spans="1:22" ht="75" x14ac:dyDescent="0.25">
      <c r="A163" s="2">
        <v>45558</v>
      </c>
      <c r="B163" t="s">
        <v>95</v>
      </c>
      <c r="C163" t="s">
        <v>517</v>
      </c>
      <c r="D163" s="1" t="s">
        <v>518</v>
      </c>
      <c r="E163" s="10" t="s">
        <v>489</v>
      </c>
      <c r="F163" s="1" t="s">
        <v>11</v>
      </c>
      <c r="G163" s="10"/>
      <c r="H163" s="1"/>
      <c r="I163" s="10"/>
      <c r="J163" s="10"/>
      <c r="K163" s="10"/>
      <c r="L163" s="10"/>
      <c r="M163" s="1" t="s">
        <v>98</v>
      </c>
      <c r="N163" s="1" t="s">
        <v>99</v>
      </c>
      <c r="O163" s="1" t="s">
        <v>14</v>
      </c>
      <c r="P163" s="10"/>
      <c r="Q163" s="11">
        <v>45812</v>
      </c>
      <c r="R163" s="1">
        <v>1</v>
      </c>
      <c r="S163"/>
      <c r="T163" t="s">
        <v>444</v>
      </c>
      <c r="U163" t="s">
        <v>99</v>
      </c>
      <c r="V163" s="3" t="s">
        <v>519</v>
      </c>
    </row>
    <row r="164" spans="1:22" ht="30" x14ac:dyDescent="0.25">
      <c r="A164" s="2">
        <v>45323</v>
      </c>
      <c r="B164" s="2"/>
      <c r="C164" t="s">
        <v>495</v>
      </c>
      <c r="D164" s="1" t="s">
        <v>520</v>
      </c>
      <c r="E164" s="1"/>
      <c r="F164" s="1" t="s">
        <v>198</v>
      </c>
      <c r="G164" s="10"/>
      <c r="H164" s="1" t="s">
        <v>478</v>
      </c>
      <c r="I164" s="10" t="s">
        <v>479</v>
      </c>
      <c r="J164" s="10"/>
      <c r="K164" s="10"/>
      <c r="L164" s="10"/>
      <c r="M164" s="1" t="s">
        <v>98</v>
      </c>
      <c r="N164" s="1"/>
      <c r="O164" s="1" t="s">
        <v>14</v>
      </c>
      <c r="P164" s="10"/>
      <c r="Q164" s="11"/>
      <c r="R164" s="1">
        <v>1</v>
      </c>
      <c r="S164"/>
      <c r="T164" t="s">
        <v>497</v>
      </c>
      <c r="U164" t="s">
        <v>188</v>
      </c>
      <c r="V164" s="3" t="s">
        <v>495</v>
      </c>
    </row>
    <row r="165" spans="1:22" x14ac:dyDescent="0.25">
      <c r="A165" s="2"/>
      <c r="B165" t="s">
        <v>95</v>
      </c>
      <c r="D165" s="27" t="s">
        <v>521</v>
      </c>
      <c r="E165" s="1"/>
      <c r="F165" s="1" t="s">
        <v>17</v>
      </c>
      <c r="G165" s="10"/>
      <c r="H165" s="1"/>
      <c r="I165" s="10"/>
      <c r="J165" s="10"/>
      <c r="K165" s="10"/>
      <c r="L165" s="10"/>
      <c r="M165" s="1" t="s">
        <v>522</v>
      </c>
      <c r="N165" s="1" t="s">
        <v>99</v>
      </c>
      <c r="O165" s="1" t="s">
        <v>12</v>
      </c>
      <c r="P165" s="10"/>
      <c r="Q165" s="11">
        <v>45832</v>
      </c>
      <c r="R165" s="1">
        <v>1</v>
      </c>
      <c r="S165"/>
      <c r="T165" t="s">
        <v>194</v>
      </c>
      <c r="U165" t="s">
        <v>99</v>
      </c>
      <c r="V165" s="3"/>
    </row>
    <row r="166" spans="1:22" x14ac:dyDescent="0.25">
      <c r="A166" s="2">
        <v>45819</v>
      </c>
      <c r="B166" t="s">
        <v>95</v>
      </c>
      <c r="C166" t="s">
        <v>523</v>
      </c>
      <c r="D166" t="s">
        <v>66</v>
      </c>
      <c r="E166" s="1"/>
      <c r="F166" s="1" t="s">
        <v>17</v>
      </c>
      <c r="G166" s="10"/>
      <c r="H166" s="1"/>
      <c r="I166" s="10"/>
      <c r="J166" s="10"/>
      <c r="K166" s="10"/>
      <c r="L166" s="10"/>
      <c r="M166" s="1" t="s">
        <v>98</v>
      </c>
      <c r="N166" s="1" t="s">
        <v>99</v>
      </c>
      <c r="O166" s="1" t="s">
        <v>28</v>
      </c>
      <c r="P166" s="10"/>
      <c r="Q166" s="11">
        <v>45825</v>
      </c>
      <c r="R166" s="1">
        <v>0</v>
      </c>
      <c r="S166"/>
      <c r="T166" t="s">
        <v>65</v>
      </c>
      <c r="U166" t="s">
        <v>99</v>
      </c>
      <c r="V166" s="3"/>
    </row>
    <row r="167" spans="1:22" x14ac:dyDescent="0.25">
      <c r="A167" s="1"/>
      <c r="B167" t="s">
        <v>217</v>
      </c>
      <c r="D167" s="27" t="s">
        <v>237</v>
      </c>
      <c r="E167" s="1"/>
      <c r="F167" s="1" t="s">
        <v>11</v>
      </c>
      <c r="G167" s="10"/>
      <c r="H167" s="1"/>
      <c r="I167" s="10"/>
      <c r="J167" s="10" t="s">
        <v>219</v>
      </c>
      <c r="K167" s="10"/>
      <c r="L167" s="10"/>
      <c r="M167" s="1" t="s">
        <v>98</v>
      </c>
      <c r="N167" s="1" t="s">
        <v>99</v>
      </c>
      <c r="O167" s="1" t="s">
        <v>14</v>
      </c>
      <c r="P167" s="10"/>
      <c r="Q167" s="11"/>
      <c r="R167" s="1">
        <v>1</v>
      </c>
      <c r="S167"/>
      <c r="T167" t="s">
        <v>194</v>
      </c>
      <c r="U167"/>
      <c r="V167" s="3"/>
    </row>
    <row r="168" spans="1:22" x14ac:dyDescent="0.25">
      <c r="A168" s="2">
        <v>45352</v>
      </c>
      <c r="B168" t="s">
        <v>95</v>
      </c>
      <c r="C168" t="s">
        <v>95</v>
      </c>
      <c r="D168" s="27" t="s">
        <v>524</v>
      </c>
      <c r="E168" s="1"/>
      <c r="F168" s="1" t="s">
        <v>198</v>
      </c>
      <c r="G168" s="10"/>
      <c r="H168" s="1"/>
      <c r="I168" s="10"/>
      <c r="J168" s="10"/>
      <c r="K168" s="10"/>
      <c r="L168" s="10"/>
      <c r="M168" s="1"/>
      <c r="N168" s="1"/>
      <c r="O168" s="1" t="s">
        <v>14</v>
      </c>
      <c r="P168" s="10"/>
      <c r="Q168" s="11"/>
      <c r="R168" s="1">
        <v>0</v>
      </c>
      <c r="S168"/>
      <c r="T168" t="s">
        <v>359</v>
      </c>
      <c r="U168" t="s">
        <v>360</v>
      </c>
      <c r="V168" s="3"/>
    </row>
    <row r="169" spans="1:22" ht="75" x14ac:dyDescent="0.25">
      <c r="A169" s="2">
        <v>45558</v>
      </c>
      <c r="B169" t="s">
        <v>95</v>
      </c>
      <c r="C169" t="s">
        <v>525</v>
      </c>
      <c r="D169" s="27" t="s">
        <v>526</v>
      </c>
      <c r="E169" s="10" t="s">
        <v>527</v>
      </c>
      <c r="F169" s="1" t="s">
        <v>11</v>
      </c>
      <c r="G169" s="10"/>
      <c r="H169" s="1"/>
      <c r="I169" s="10"/>
      <c r="J169" s="10"/>
      <c r="K169" s="10"/>
      <c r="L169" s="10"/>
      <c r="M169" s="1" t="s">
        <v>98</v>
      </c>
      <c r="N169" s="1" t="s">
        <v>99</v>
      </c>
      <c r="O169" s="1" t="s">
        <v>14</v>
      </c>
      <c r="P169" s="10"/>
      <c r="Q169" s="11"/>
      <c r="R169" s="1">
        <v>1</v>
      </c>
      <c r="S169"/>
      <c r="T169" t="s">
        <v>444</v>
      </c>
      <c r="U169" t="s">
        <v>99</v>
      </c>
      <c r="V169" s="3" t="s">
        <v>452</v>
      </c>
    </row>
    <row r="170" spans="1:22" x14ac:dyDescent="0.25">
      <c r="B170" t="s">
        <v>217</v>
      </c>
      <c r="D170" s="27" t="s">
        <v>528</v>
      </c>
      <c r="E170" s="1"/>
      <c r="F170" s="1" t="s">
        <v>17</v>
      </c>
      <c r="G170" s="10"/>
      <c r="H170" s="1"/>
      <c r="I170" s="10"/>
      <c r="J170" s="10" t="s">
        <v>529</v>
      </c>
      <c r="K170" s="10"/>
      <c r="L170" s="10"/>
      <c r="M170" s="1" t="s">
        <v>98</v>
      </c>
      <c r="N170" s="1" t="s">
        <v>99</v>
      </c>
      <c r="O170" s="1" t="s">
        <v>14</v>
      </c>
      <c r="P170" s="10"/>
      <c r="Q170" s="11">
        <v>45680</v>
      </c>
      <c r="R170" s="1">
        <v>1</v>
      </c>
      <c r="S170"/>
      <c r="T170" t="s">
        <v>194</v>
      </c>
      <c r="U170"/>
      <c r="V170" s="3"/>
    </row>
    <row r="171" spans="1:22" ht="75" x14ac:dyDescent="0.25">
      <c r="A171" s="2">
        <v>45558</v>
      </c>
      <c r="B171" t="s">
        <v>95</v>
      </c>
      <c r="C171" t="s">
        <v>530</v>
      </c>
      <c r="D171" s="27" t="s">
        <v>531</v>
      </c>
      <c r="E171" s="10" t="s">
        <v>532</v>
      </c>
      <c r="F171" s="1" t="s">
        <v>11</v>
      </c>
      <c r="G171" s="10"/>
      <c r="H171" s="1"/>
      <c r="I171" s="10"/>
      <c r="J171" s="10"/>
      <c r="K171" s="10"/>
      <c r="L171" s="10"/>
      <c r="M171" s="1" t="s">
        <v>98</v>
      </c>
      <c r="N171" s="1" t="s">
        <v>99</v>
      </c>
      <c r="O171" s="1" t="s">
        <v>14</v>
      </c>
      <c r="P171" s="10"/>
      <c r="Q171" s="11"/>
      <c r="R171" s="1">
        <v>1</v>
      </c>
      <c r="S171"/>
      <c r="T171" t="s">
        <v>444</v>
      </c>
      <c r="U171" t="s">
        <v>99</v>
      </c>
      <c r="V171" s="3"/>
    </row>
    <row r="172" spans="1:22" ht="30" x14ac:dyDescent="0.25">
      <c r="A172" s="2">
        <v>45597</v>
      </c>
      <c r="B172" t="s">
        <v>217</v>
      </c>
      <c r="C172" t="s">
        <v>533</v>
      </c>
      <c r="D172" s="27" t="s">
        <v>534</v>
      </c>
      <c r="E172" s="1"/>
      <c r="F172" s="1" t="s">
        <v>17</v>
      </c>
      <c r="G172" s="10"/>
      <c r="H172" s="1"/>
      <c r="I172" s="10"/>
      <c r="J172" s="10"/>
      <c r="K172" s="10"/>
      <c r="L172" s="10"/>
      <c r="M172" s="1" t="s">
        <v>98</v>
      </c>
      <c r="N172" s="1" t="s">
        <v>99</v>
      </c>
      <c r="O172" s="1" t="s">
        <v>14</v>
      </c>
      <c r="P172" s="10"/>
      <c r="Q172" s="11"/>
      <c r="R172" s="1">
        <v>1</v>
      </c>
      <c r="S172"/>
      <c r="T172" s="3" t="s">
        <v>222</v>
      </c>
      <c r="U172" t="s">
        <v>99</v>
      </c>
      <c r="V172" s="3"/>
    </row>
    <row r="173" spans="1:22" x14ac:dyDescent="0.25">
      <c r="A173" s="2">
        <v>45364</v>
      </c>
      <c r="B173" s="2"/>
      <c r="C173" t="s">
        <v>513</v>
      </c>
      <c r="D173" s="27" t="s">
        <v>535</v>
      </c>
      <c r="E173" s="1"/>
      <c r="F173" s="1" t="s">
        <v>17</v>
      </c>
      <c r="G173" s="10"/>
      <c r="H173" s="1"/>
      <c r="I173" s="10"/>
      <c r="J173" s="10"/>
      <c r="K173" s="10"/>
      <c r="L173" s="10"/>
      <c r="M173" s="1" t="s">
        <v>98</v>
      </c>
      <c r="N173" s="1"/>
      <c r="O173" s="1" t="s">
        <v>14</v>
      </c>
      <c r="P173" s="10"/>
      <c r="Q173" s="11"/>
      <c r="R173" s="1">
        <v>1</v>
      </c>
      <c r="S173"/>
      <c r="T173" t="s">
        <v>515</v>
      </c>
      <c r="U173" t="s">
        <v>516</v>
      </c>
      <c r="V173" s="3"/>
    </row>
    <row r="174" spans="1:22" ht="30" x14ac:dyDescent="0.25">
      <c r="A174" s="2">
        <v>45597</v>
      </c>
      <c r="B174" t="s">
        <v>217</v>
      </c>
      <c r="C174" t="s">
        <v>533</v>
      </c>
      <c r="D174" s="27" t="s">
        <v>536</v>
      </c>
      <c r="E174" s="10"/>
      <c r="F174" s="1" t="s">
        <v>17</v>
      </c>
      <c r="G174" s="10"/>
      <c r="H174" s="1"/>
      <c r="I174" s="10"/>
      <c r="J174" s="10"/>
      <c r="K174" s="10"/>
      <c r="L174" s="10"/>
      <c r="M174" s="1" t="s">
        <v>98</v>
      </c>
      <c r="N174" s="1" t="s">
        <v>99</v>
      </c>
      <c r="O174" s="1" t="s">
        <v>14</v>
      </c>
      <c r="P174" s="10"/>
      <c r="Q174" s="11">
        <v>45834</v>
      </c>
      <c r="R174" s="1">
        <v>2</v>
      </c>
      <c r="S174"/>
      <c r="T174" s="3" t="s">
        <v>222</v>
      </c>
      <c r="U174" t="s">
        <v>99</v>
      </c>
      <c r="V174" s="3"/>
    </row>
    <row r="175" spans="1:22" x14ac:dyDescent="0.25">
      <c r="A175" s="14"/>
      <c r="D175" s="27" t="s">
        <v>228</v>
      </c>
      <c r="E175" s="1"/>
      <c r="F175" s="1" t="s">
        <v>11</v>
      </c>
      <c r="G175" s="10"/>
      <c r="H175" s="1"/>
      <c r="I175" s="10"/>
      <c r="J175" s="10" t="s">
        <v>219</v>
      </c>
      <c r="K175" s="13">
        <v>45717</v>
      </c>
      <c r="L175" s="10"/>
      <c r="M175" s="1" t="s">
        <v>98</v>
      </c>
      <c r="N175" s="1" t="s">
        <v>99</v>
      </c>
      <c r="O175" s="1" t="s">
        <v>14</v>
      </c>
      <c r="P175" s="10"/>
      <c r="Q175" s="11">
        <v>45729</v>
      </c>
      <c r="R175" s="1">
        <v>1</v>
      </c>
      <c r="S175"/>
      <c r="T175" t="s">
        <v>194</v>
      </c>
      <c r="U175"/>
      <c r="V175" s="3"/>
    </row>
    <row r="176" spans="1:22" x14ac:dyDescent="0.25">
      <c r="A176" s="2">
        <v>45364</v>
      </c>
      <c r="B176" s="2"/>
      <c r="C176" t="s">
        <v>513</v>
      </c>
      <c r="D176" s="27" t="s">
        <v>537</v>
      </c>
      <c r="E176" s="1"/>
      <c r="F176" s="1" t="s">
        <v>17</v>
      </c>
      <c r="G176" s="10"/>
      <c r="H176" s="1"/>
      <c r="I176" s="10"/>
      <c r="J176" s="10"/>
      <c r="K176" s="10"/>
      <c r="L176" s="10"/>
      <c r="M176" s="1" t="s">
        <v>98</v>
      </c>
      <c r="N176" s="1"/>
      <c r="O176" s="1" t="s">
        <v>14</v>
      </c>
      <c r="P176" s="10"/>
      <c r="Q176" s="11"/>
      <c r="R176" s="1">
        <v>1</v>
      </c>
      <c r="S176"/>
      <c r="T176" t="s">
        <v>515</v>
      </c>
      <c r="U176" t="s">
        <v>516</v>
      </c>
      <c r="V176" s="3"/>
    </row>
    <row r="177" spans="1:22" ht="30" x14ac:dyDescent="0.25">
      <c r="A177" s="2">
        <v>45597</v>
      </c>
      <c r="B177" t="s">
        <v>217</v>
      </c>
      <c r="C177" t="s">
        <v>533</v>
      </c>
      <c r="D177" s="27" t="s">
        <v>538</v>
      </c>
      <c r="E177" s="10"/>
      <c r="F177" s="1" t="s">
        <v>11</v>
      </c>
      <c r="G177" s="10"/>
      <c r="H177" s="1"/>
      <c r="I177" s="10"/>
      <c r="J177" s="10"/>
      <c r="K177" s="10"/>
      <c r="L177" s="10"/>
      <c r="M177" s="1" t="s">
        <v>104</v>
      </c>
      <c r="N177" s="1" t="s">
        <v>99</v>
      </c>
      <c r="O177" s="1" t="s">
        <v>12</v>
      </c>
      <c r="P177" s="10"/>
      <c r="Q177" s="11">
        <v>45905</v>
      </c>
      <c r="R177" s="1">
        <v>2</v>
      </c>
      <c r="S177"/>
      <c r="T177" s="3" t="s">
        <v>222</v>
      </c>
      <c r="U177" t="s">
        <v>99</v>
      </c>
      <c r="V177" s="3"/>
    </row>
    <row r="178" spans="1:22" x14ac:dyDescent="0.25">
      <c r="D178" s="27" t="s">
        <v>325</v>
      </c>
      <c r="E178" s="1"/>
      <c r="F178" s="1" t="s">
        <v>11</v>
      </c>
      <c r="G178" s="10"/>
      <c r="H178" s="1"/>
      <c r="I178" s="10"/>
      <c r="J178" s="10"/>
      <c r="K178" s="10"/>
      <c r="L178" s="10"/>
      <c r="M178" s="1" t="s">
        <v>104</v>
      </c>
      <c r="N178" s="1" t="s">
        <v>99</v>
      </c>
      <c r="O178" s="1" t="s">
        <v>12</v>
      </c>
      <c r="P178" s="10"/>
      <c r="Q178" s="11">
        <v>45692</v>
      </c>
      <c r="R178" s="1">
        <v>1</v>
      </c>
      <c r="S178"/>
      <c r="T178" t="s">
        <v>194</v>
      </c>
      <c r="U178"/>
      <c r="V178" s="3"/>
    </row>
    <row r="179" spans="1:22" ht="90" x14ac:dyDescent="0.25">
      <c r="A179" s="2">
        <v>45558</v>
      </c>
      <c r="B179" t="s">
        <v>95</v>
      </c>
      <c r="C179" t="s">
        <v>539</v>
      </c>
      <c r="D179" s="1" t="s">
        <v>540</v>
      </c>
      <c r="E179" s="10" t="s">
        <v>541</v>
      </c>
      <c r="F179" s="1" t="s">
        <v>11</v>
      </c>
      <c r="G179" s="10"/>
      <c r="H179" s="1"/>
      <c r="I179" s="10"/>
      <c r="J179" s="10"/>
      <c r="K179" s="10"/>
      <c r="L179" s="10"/>
      <c r="M179" s="1" t="s">
        <v>98</v>
      </c>
      <c r="N179" s="1" t="s">
        <v>99</v>
      </c>
      <c r="O179" s="1" t="s">
        <v>14</v>
      </c>
      <c r="P179" s="10"/>
      <c r="Q179" s="11"/>
      <c r="R179" s="1">
        <v>1</v>
      </c>
      <c r="S179"/>
      <c r="T179" t="s">
        <v>444</v>
      </c>
      <c r="U179" t="s">
        <v>99</v>
      </c>
      <c r="V179" s="3" t="s">
        <v>452</v>
      </c>
    </row>
    <row r="180" spans="1:22" x14ac:dyDescent="0.25">
      <c r="A180" s="2">
        <v>45323</v>
      </c>
      <c r="B180" s="2"/>
      <c r="C180" t="s">
        <v>495</v>
      </c>
      <c r="D180" s="1" t="s">
        <v>542</v>
      </c>
      <c r="E180" s="1"/>
      <c r="F180" s="1" t="s">
        <v>17</v>
      </c>
      <c r="G180" s="10"/>
      <c r="H180" s="1" t="s">
        <v>543</v>
      </c>
      <c r="I180" s="10"/>
      <c r="J180" s="10"/>
      <c r="K180" s="10"/>
      <c r="L180" s="10"/>
      <c r="M180" s="1" t="s">
        <v>98</v>
      </c>
      <c r="N180" s="1"/>
      <c r="O180" s="1" t="s">
        <v>14</v>
      </c>
      <c r="P180" s="10"/>
      <c r="Q180" s="11"/>
      <c r="R180" s="1">
        <v>1</v>
      </c>
      <c r="S180"/>
      <c r="T180" t="s">
        <v>497</v>
      </c>
      <c r="U180" t="s">
        <v>188</v>
      </c>
      <c r="V180" s="3" t="s">
        <v>495</v>
      </c>
    </row>
    <row r="181" spans="1:22" x14ac:dyDescent="0.25">
      <c r="A181" s="2">
        <v>45352</v>
      </c>
      <c r="B181" s="2" t="s">
        <v>95</v>
      </c>
      <c r="C181" t="s">
        <v>544</v>
      </c>
      <c r="D181" s="1" t="s">
        <v>545</v>
      </c>
      <c r="E181" s="1"/>
      <c r="F181" s="1" t="s">
        <v>198</v>
      </c>
      <c r="G181" s="10"/>
      <c r="H181" s="1" t="s">
        <v>196</v>
      </c>
      <c r="I181" s="10"/>
      <c r="J181" s="10"/>
      <c r="K181" s="10"/>
      <c r="L181" s="10"/>
      <c r="M181" s="1" t="s">
        <v>104</v>
      </c>
      <c r="N181" s="1"/>
      <c r="O181" s="1" t="s">
        <v>12</v>
      </c>
      <c r="P181" s="10"/>
      <c r="Q181" s="11"/>
      <c r="R181" s="1">
        <v>0</v>
      </c>
      <c r="S181"/>
      <c r="T181" t="s">
        <v>187</v>
      </c>
      <c r="U181" t="s">
        <v>188</v>
      </c>
      <c r="V181" s="3" t="s">
        <v>183</v>
      </c>
    </row>
    <row r="182" spans="1:22" ht="30" x14ac:dyDescent="0.25">
      <c r="A182" s="2">
        <v>45597</v>
      </c>
      <c r="B182" t="s">
        <v>217</v>
      </c>
      <c r="C182" t="s">
        <v>546</v>
      </c>
      <c r="D182" s="1" t="s">
        <v>547</v>
      </c>
      <c r="E182" s="1"/>
      <c r="F182" s="1" t="s">
        <v>17</v>
      </c>
      <c r="G182" s="10"/>
      <c r="H182" s="1"/>
      <c r="I182" s="10"/>
      <c r="J182" s="10"/>
      <c r="K182" s="10"/>
      <c r="L182" s="10"/>
      <c r="M182" s="1" t="s">
        <v>98</v>
      </c>
      <c r="N182" s="1" t="s">
        <v>99</v>
      </c>
      <c r="O182" s="1" t="s">
        <v>14</v>
      </c>
      <c r="P182" s="10"/>
      <c r="Q182" s="11"/>
      <c r="R182" s="1">
        <v>1</v>
      </c>
      <c r="S182"/>
      <c r="T182" s="3" t="s">
        <v>222</v>
      </c>
      <c r="U182" t="s">
        <v>99</v>
      </c>
      <c r="V182" s="3"/>
    </row>
    <row r="183" spans="1:22" ht="30" x14ac:dyDescent="0.25">
      <c r="A183" s="2">
        <v>45597</v>
      </c>
      <c r="B183" t="s">
        <v>217</v>
      </c>
      <c r="C183" t="s">
        <v>533</v>
      </c>
      <c r="D183" s="1" t="s">
        <v>548</v>
      </c>
      <c r="E183" s="1"/>
      <c r="F183" s="1" t="s">
        <v>11</v>
      </c>
      <c r="G183" s="10"/>
      <c r="H183" s="1"/>
      <c r="I183" s="10"/>
      <c r="J183" s="10"/>
      <c r="K183" s="3"/>
      <c r="L183" s="10"/>
      <c r="M183" s="1" t="s">
        <v>104</v>
      </c>
      <c r="N183" s="1" t="s">
        <v>99</v>
      </c>
      <c r="O183" s="1" t="s">
        <v>12</v>
      </c>
      <c r="P183" s="10"/>
      <c r="Q183" s="11"/>
      <c r="R183" s="1">
        <v>2</v>
      </c>
      <c r="S183"/>
      <c r="T183" s="3" t="s">
        <v>222</v>
      </c>
      <c r="U183" t="s">
        <v>99</v>
      </c>
      <c r="V183" s="3"/>
    </row>
    <row r="184" spans="1:22" ht="30" x14ac:dyDescent="0.25">
      <c r="A184" s="2">
        <v>45597</v>
      </c>
      <c r="B184" t="s">
        <v>217</v>
      </c>
      <c r="C184" t="s">
        <v>533</v>
      </c>
      <c r="D184" s="1" t="s">
        <v>549</v>
      </c>
      <c r="E184" s="1"/>
      <c r="F184" s="1" t="s">
        <v>15</v>
      </c>
      <c r="G184" s="10"/>
      <c r="H184" s="1"/>
      <c r="I184" s="10"/>
      <c r="J184" s="10"/>
      <c r="K184" s="10"/>
      <c r="M184" s="1" t="s">
        <v>98</v>
      </c>
      <c r="N184" s="1" t="s">
        <v>99</v>
      </c>
      <c r="O184" s="1" t="s">
        <v>14</v>
      </c>
      <c r="P184" s="10"/>
      <c r="Q184" s="11"/>
      <c r="R184" s="1">
        <v>1</v>
      </c>
      <c r="S184"/>
      <c r="T184" s="3" t="s">
        <v>222</v>
      </c>
      <c r="U184" t="s">
        <v>99</v>
      </c>
      <c r="V184" s="3"/>
    </row>
    <row r="185" spans="1:22" ht="30" x14ac:dyDescent="0.25">
      <c r="A185" s="2">
        <v>45597</v>
      </c>
      <c r="B185" t="s">
        <v>217</v>
      </c>
      <c r="C185" t="s">
        <v>533</v>
      </c>
      <c r="D185" t="s">
        <v>550</v>
      </c>
      <c r="F185" s="1" t="s">
        <v>15</v>
      </c>
      <c r="G185" s="3"/>
      <c r="I185" s="3"/>
      <c r="J185" s="10"/>
      <c r="K185" s="10"/>
      <c r="M185" s="1" t="s">
        <v>98</v>
      </c>
      <c r="N185" s="1" t="s">
        <v>99</v>
      </c>
      <c r="O185" s="1" t="s">
        <v>14</v>
      </c>
      <c r="Q185" s="14"/>
      <c r="R185" s="1">
        <v>1</v>
      </c>
      <c r="S185"/>
      <c r="T185" s="3" t="s">
        <v>222</v>
      </c>
      <c r="U185" t="s">
        <v>99</v>
      </c>
      <c r="V185" s="3"/>
    </row>
    <row r="186" spans="1:22" ht="30" x14ac:dyDescent="0.25">
      <c r="A186" s="2">
        <v>45597</v>
      </c>
      <c r="B186" t="s">
        <v>217</v>
      </c>
      <c r="C186" t="s">
        <v>533</v>
      </c>
      <c r="D186" t="s">
        <v>551</v>
      </c>
      <c r="F186" s="1" t="s">
        <v>15</v>
      </c>
      <c r="G186" s="3"/>
      <c r="I186" s="3"/>
      <c r="J186" s="10"/>
      <c r="K186" s="10"/>
      <c r="M186" s="1" t="s">
        <v>98</v>
      </c>
      <c r="N186" s="1" t="s">
        <v>99</v>
      </c>
      <c r="O186" s="1" t="s">
        <v>14</v>
      </c>
      <c r="Q186" s="14"/>
      <c r="R186" s="1">
        <v>2</v>
      </c>
      <c r="S186"/>
      <c r="T186" s="3" t="s">
        <v>222</v>
      </c>
      <c r="U186" t="s">
        <v>99</v>
      </c>
      <c r="V186" s="3"/>
    </row>
    <row r="187" spans="1:22" ht="30" x14ac:dyDescent="0.25">
      <c r="A187" s="2">
        <v>45597</v>
      </c>
      <c r="B187" t="s">
        <v>217</v>
      </c>
      <c r="C187" t="s">
        <v>533</v>
      </c>
      <c r="D187" t="s">
        <v>552</v>
      </c>
      <c r="F187" s="1" t="s">
        <v>17</v>
      </c>
      <c r="G187" s="3"/>
      <c r="I187" s="3"/>
      <c r="J187" s="10"/>
      <c r="K187" s="10"/>
      <c r="M187" s="1" t="s">
        <v>98</v>
      </c>
      <c r="N187" s="1" t="s">
        <v>99</v>
      </c>
      <c r="O187" s="1" t="s">
        <v>14</v>
      </c>
      <c r="Q187" s="14"/>
      <c r="R187" s="1">
        <v>1</v>
      </c>
      <c r="S187"/>
      <c r="T187" s="3" t="s">
        <v>222</v>
      </c>
      <c r="U187" t="s">
        <v>99</v>
      </c>
      <c r="V187" s="3"/>
    </row>
    <row r="188" spans="1:22" ht="30" x14ac:dyDescent="0.25">
      <c r="A188" s="2">
        <v>45597</v>
      </c>
      <c r="B188" t="s">
        <v>217</v>
      </c>
      <c r="C188" t="s">
        <v>533</v>
      </c>
      <c r="D188" t="s">
        <v>553</v>
      </c>
      <c r="F188" t="s">
        <v>17</v>
      </c>
      <c r="G188" s="3"/>
      <c r="I188" s="3"/>
      <c r="J188" s="10"/>
      <c r="K188" s="10"/>
      <c r="M188" s="1" t="s">
        <v>98</v>
      </c>
      <c r="N188" s="1" t="s">
        <v>99</v>
      </c>
      <c r="O188" s="1" t="s">
        <v>14</v>
      </c>
      <c r="Q188" s="14"/>
      <c r="R188" s="1">
        <v>1</v>
      </c>
      <c r="S188"/>
      <c r="T188" s="3" t="s">
        <v>222</v>
      </c>
      <c r="U188" t="s">
        <v>99</v>
      </c>
      <c r="V188" s="3"/>
    </row>
    <row r="189" spans="1:22" x14ac:dyDescent="0.25">
      <c r="A189" s="2">
        <v>45352</v>
      </c>
      <c r="B189" s="2" t="s">
        <v>95</v>
      </c>
      <c r="C189" t="s">
        <v>544</v>
      </c>
      <c r="D189" t="s">
        <v>554</v>
      </c>
      <c r="F189" t="s">
        <v>198</v>
      </c>
      <c r="G189" s="3"/>
      <c r="H189" t="s">
        <v>196</v>
      </c>
      <c r="I189" s="3"/>
      <c r="J189" s="10"/>
      <c r="K189" s="10"/>
      <c r="M189" s="1" t="s">
        <v>104</v>
      </c>
      <c r="N189" s="1"/>
      <c r="O189" s="1" t="s">
        <v>12</v>
      </c>
      <c r="Q189" s="14"/>
      <c r="R189" s="1">
        <v>0</v>
      </c>
      <c r="S189"/>
      <c r="T189" t="s">
        <v>187</v>
      </c>
      <c r="U189" t="s">
        <v>188</v>
      </c>
      <c r="V189" s="3" t="s">
        <v>183</v>
      </c>
    </row>
    <row r="190" spans="1:22" x14ac:dyDescent="0.25">
      <c r="A190" s="2">
        <v>45352</v>
      </c>
      <c r="B190" s="2" t="s">
        <v>95</v>
      </c>
      <c r="C190" t="s">
        <v>544</v>
      </c>
      <c r="D190" t="s">
        <v>555</v>
      </c>
      <c r="F190" t="s">
        <v>17</v>
      </c>
      <c r="G190" s="3"/>
      <c r="H190" t="s">
        <v>186</v>
      </c>
      <c r="I190" s="3"/>
      <c r="J190" s="10"/>
      <c r="K190" s="10"/>
      <c r="M190" s="1" t="s">
        <v>104</v>
      </c>
      <c r="N190" s="1"/>
      <c r="O190" s="1" t="s">
        <v>12</v>
      </c>
      <c r="Q190" s="14"/>
      <c r="R190" s="1">
        <v>0</v>
      </c>
      <c r="S190"/>
      <c r="T190" t="s">
        <v>187</v>
      </c>
      <c r="U190" t="s">
        <v>188</v>
      </c>
      <c r="V190" s="3" t="s">
        <v>183</v>
      </c>
    </row>
    <row r="191" spans="1:22" ht="30" x14ac:dyDescent="0.25">
      <c r="A191" s="2">
        <v>45839</v>
      </c>
      <c r="B191" t="s">
        <v>314</v>
      </c>
      <c r="C191" t="s">
        <v>556</v>
      </c>
      <c r="D191" s="20" t="s">
        <v>29</v>
      </c>
      <c r="E191" s="20"/>
      <c r="F191" t="s">
        <v>15</v>
      </c>
      <c r="G191" s="3"/>
      <c r="I191" s="3"/>
      <c r="J191" s="10" t="s">
        <v>219</v>
      </c>
      <c r="K191" s="11">
        <v>45952</v>
      </c>
      <c r="L191" s="22" t="s">
        <v>557</v>
      </c>
      <c r="M191" s="1" t="s">
        <v>104</v>
      </c>
      <c r="N191" s="1" t="s">
        <v>99</v>
      </c>
      <c r="O191" s="1" t="s">
        <v>12</v>
      </c>
      <c r="Q191" s="14"/>
      <c r="R191" s="1">
        <v>0</v>
      </c>
      <c r="S191" t="s">
        <v>558</v>
      </c>
      <c r="T191" t="s">
        <v>9</v>
      </c>
      <c r="U191" t="s">
        <v>99</v>
      </c>
      <c r="V191" s="3"/>
    </row>
    <row r="192" spans="1:22" ht="120" x14ac:dyDescent="0.25">
      <c r="A192" s="2">
        <v>45839</v>
      </c>
      <c r="B192" t="s">
        <v>314</v>
      </c>
      <c r="C192" t="s">
        <v>556</v>
      </c>
      <c r="D192" s="20" t="s">
        <v>30</v>
      </c>
      <c r="E192" s="20"/>
      <c r="F192" t="s">
        <v>15</v>
      </c>
      <c r="G192" s="3"/>
      <c r="I192" s="3"/>
      <c r="J192" s="10" t="s">
        <v>219</v>
      </c>
      <c r="K192" s="11">
        <v>45922</v>
      </c>
      <c r="L192" s="3" t="s">
        <v>559</v>
      </c>
      <c r="M192" s="1" t="s">
        <v>104</v>
      </c>
      <c r="N192" s="1" t="s">
        <v>99</v>
      </c>
      <c r="O192" s="1" t="s">
        <v>12</v>
      </c>
      <c r="Q192" s="14"/>
      <c r="R192" s="1">
        <v>0</v>
      </c>
      <c r="S192" t="s">
        <v>558</v>
      </c>
      <c r="T192" t="s">
        <v>9</v>
      </c>
      <c r="U192" t="s">
        <v>99</v>
      </c>
      <c r="V192" s="3"/>
    </row>
    <row r="193" spans="1:22" ht="75" x14ac:dyDescent="0.25">
      <c r="A193" s="2">
        <v>45839</v>
      </c>
      <c r="B193" t="s">
        <v>314</v>
      </c>
      <c r="C193" t="s">
        <v>556</v>
      </c>
      <c r="D193" s="19" t="s">
        <v>18</v>
      </c>
      <c r="E193" s="20"/>
      <c r="F193" t="s">
        <v>15</v>
      </c>
      <c r="G193" s="10"/>
      <c r="H193" s="1"/>
      <c r="I193" s="10"/>
      <c r="J193" s="10" t="s">
        <v>219</v>
      </c>
      <c r="K193" s="11">
        <v>45922</v>
      </c>
      <c r="L193" s="10" t="s">
        <v>560</v>
      </c>
      <c r="M193" s="1" t="s">
        <v>104</v>
      </c>
      <c r="N193" s="1" t="s">
        <v>99</v>
      </c>
      <c r="O193" s="1" t="s">
        <v>12</v>
      </c>
      <c r="P193" s="10"/>
      <c r="Q193" s="11"/>
      <c r="R193" s="1">
        <v>0</v>
      </c>
      <c r="S193" t="s">
        <v>558</v>
      </c>
      <c r="T193" t="s">
        <v>9</v>
      </c>
      <c r="U193" t="s">
        <v>99</v>
      </c>
      <c r="V193" s="3"/>
    </row>
    <row r="194" spans="1:22" ht="90" x14ac:dyDescent="0.25">
      <c r="A194" s="2">
        <v>45839</v>
      </c>
      <c r="B194" t="s">
        <v>314</v>
      </c>
      <c r="C194" t="s">
        <v>556</v>
      </c>
      <c r="D194" s="19" t="s">
        <v>21</v>
      </c>
      <c r="E194" s="19"/>
      <c r="F194" s="1" t="s">
        <v>15</v>
      </c>
      <c r="G194" s="10"/>
      <c r="H194" s="1"/>
      <c r="I194" s="10"/>
      <c r="J194" s="10" t="s">
        <v>219</v>
      </c>
      <c r="K194" s="11">
        <v>45922</v>
      </c>
      <c r="L194" s="10" t="s">
        <v>561</v>
      </c>
      <c r="M194" s="1" t="s">
        <v>104</v>
      </c>
      <c r="N194" s="1" t="s">
        <v>99</v>
      </c>
      <c r="O194" s="1" t="s">
        <v>12</v>
      </c>
      <c r="P194" s="10"/>
      <c r="Q194" s="11"/>
      <c r="R194" s="1">
        <v>0</v>
      </c>
      <c r="S194" t="s">
        <v>558</v>
      </c>
      <c r="T194" t="s">
        <v>9</v>
      </c>
      <c r="U194" t="s">
        <v>99</v>
      </c>
      <c r="V194" s="3"/>
    </row>
    <row r="195" spans="1:22" ht="120" x14ac:dyDescent="0.25">
      <c r="A195" s="2">
        <v>45839</v>
      </c>
      <c r="B195" t="s">
        <v>314</v>
      </c>
      <c r="C195" t="s">
        <v>556</v>
      </c>
      <c r="D195" s="19" t="s">
        <v>20</v>
      </c>
      <c r="E195" s="19"/>
      <c r="F195" s="1" t="s">
        <v>11</v>
      </c>
      <c r="G195" s="10"/>
      <c r="H195" s="1"/>
      <c r="I195" s="10"/>
      <c r="J195" s="10" t="s">
        <v>219</v>
      </c>
      <c r="K195" s="11">
        <v>45952</v>
      </c>
      <c r="L195" s="10" t="s">
        <v>562</v>
      </c>
      <c r="M195" s="1" t="s">
        <v>104</v>
      </c>
      <c r="N195" s="1" t="s">
        <v>99</v>
      </c>
      <c r="O195" s="1" t="s">
        <v>12</v>
      </c>
      <c r="P195" s="10"/>
      <c r="Q195" s="11"/>
      <c r="R195" s="1">
        <v>0</v>
      </c>
      <c r="S195" t="s">
        <v>558</v>
      </c>
      <c r="T195" t="s">
        <v>9</v>
      </c>
      <c r="U195" t="s">
        <v>99</v>
      </c>
      <c r="V195" s="3"/>
    </row>
    <row r="196" spans="1:22" x14ac:dyDescent="0.25">
      <c r="A196" s="2">
        <v>45839</v>
      </c>
      <c r="B196" t="s">
        <v>314</v>
      </c>
      <c r="C196" t="s">
        <v>556</v>
      </c>
      <c r="D196" s="19" t="s">
        <v>13</v>
      </c>
      <c r="E196" s="19"/>
      <c r="F196" s="1" t="s">
        <v>11</v>
      </c>
      <c r="H196" s="1"/>
      <c r="I196" s="10"/>
      <c r="J196" s="3" t="s">
        <v>219</v>
      </c>
      <c r="K196" s="14">
        <v>45922</v>
      </c>
      <c r="L196" s="21" t="s">
        <v>563</v>
      </c>
      <c r="M196" s="1" t="s">
        <v>98</v>
      </c>
      <c r="N196" s="1" t="s">
        <v>99</v>
      </c>
      <c r="O196" s="1" t="s">
        <v>14</v>
      </c>
      <c r="P196" s="10"/>
      <c r="Q196" s="11">
        <v>45968</v>
      </c>
      <c r="R196" s="1">
        <v>1</v>
      </c>
      <c r="S196" t="s">
        <v>558</v>
      </c>
      <c r="T196" t="s">
        <v>9</v>
      </c>
      <c r="U196" t="s">
        <v>99</v>
      </c>
      <c r="V196" s="3"/>
    </row>
    <row r="197" spans="1:22" ht="90" x14ac:dyDescent="0.25">
      <c r="A197" s="2">
        <v>45839</v>
      </c>
      <c r="B197" t="s">
        <v>314</v>
      </c>
      <c r="C197" t="s">
        <v>564</v>
      </c>
      <c r="D197" s="19" t="s">
        <v>27</v>
      </c>
      <c r="E197" s="19"/>
      <c r="F197" s="1" t="s">
        <v>11</v>
      </c>
      <c r="H197" s="1"/>
      <c r="I197" s="10"/>
      <c r="J197" s="3" t="s">
        <v>219</v>
      </c>
      <c r="K197" s="14">
        <v>45922</v>
      </c>
      <c r="L197" s="3" t="s">
        <v>565</v>
      </c>
      <c r="M197" s="1" t="s">
        <v>104</v>
      </c>
      <c r="N197" s="1" t="s">
        <v>99</v>
      </c>
      <c r="O197" s="1" t="s">
        <v>12</v>
      </c>
      <c r="P197" s="10"/>
      <c r="Q197" s="11"/>
      <c r="R197" s="1">
        <v>0</v>
      </c>
      <c r="S197" t="s">
        <v>558</v>
      </c>
      <c r="T197" t="s">
        <v>9</v>
      </c>
      <c r="U197" t="s">
        <v>99</v>
      </c>
      <c r="V197" s="3"/>
    </row>
    <row r="198" spans="1:22" ht="30" x14ac:dyDescent="0.25">
      <c r="A198" s="2">
        <v>45839</v>
      </c>
      <c r="B198" t="s">
        <v>314</v>
      </c>
      <c r="C198" t="s">
        <v>564</v>
      </c>
      <c r="D198" s="20" t="s">
        <v>24</v>
      </c>
      <c r="E198" s="19"/>
      <c r="F198" t="s">
        <v>11</v>
      </c>
      <c r="G198" s="10"/>
      <c r="H198" s="1"/>
      <c r="I198" s="10"/>
      <c r="J198" s="10" t="s">
        <v>219</v>
      </c>
      <c r="K198" s="11">
        <v>45896</v>
      </c>
      <c r="L198" s="10" t="s">
        <v>566</v>
      </c>
      <c r="M198" s="1" t="s">
        <v>98</v>
      </c>
      <c r="N198" s="1" t="s">
        <v>99</v>
      </c>
      <c r="O198" s="1" t="s">
        <v>14</v>
      </c>
      <c r="P198" s="10"/>
      <c r="Q198" s="11">
        <v>45968</v>
      </c>
      <c r="R198" s="1">
        <v>1</v>
      </c>
      <c r="S198" t="s">
        <v>558</v>
      </c>
      <c r="T198" t="s">
        <v>9</v>
      </c>
      <c r="U198" t="s">
        <v>99</v>
      </c>
      <c r="V198" s="3"/>
    </row>
    <row r="199" spans="1:22" ht="90" x14ac:dyDescent="0.25">
      <c r="A199" s="2">
        <v>45839</v>
      </c>
      <c r="B199" t="s">
        <v>314</v>
      </c>
      <c r="C199" t="s">
        <v>564</v>
      </c>
      <c r="D199" s="20" t="s">
        <v>10</v>
      </c>
      <c r="E199" s="19"/>
      <c r="F199" t="s">
        <v>11</v>
      </c>
      <c r="G199" s="10"/>
      <c r="H199" s="1"/>
      <c r="I199" s="10"/>
      <c r="J199" s="10" t="s">
        <v>219</v>
      </c>
      <c r="K199" s="11">
        <v>45922</v>
      </c>
      <c r="L199" s="10" t="s">
        <v>567</v>
      </c>
      <c r="M199" s="1" t="s">
        <v>104</v>
      </c>
      <c r="N199" s="1" t="s">
        <v>99</v>
      </c>
      <c r="O199" s="1" t="s">
        <v>12</v>
      </c>
      <c r="P199" s="10"/>
      <c r="Q199" s="11"/>
      <c r="R199" s="1">
        <v>0</v>
      </c>
      <c r="S199" t="s">
        <v>558</v>
      </c>
      <c r="T199" t="s">
        <v>9</v>
      </c>
      <c r="U199" t="s">
        <v>99</v>
      </c>
      <c r="V199" s="3"/>
    </row>
    <row r="200" spans="1:22" ht="30" x14ac:dyDescent="0.25">
      <c r="A200" s="2">
        <v>45839</v>
      </c>
      <c r="B200" t="s">
        <v>314</v>
      </c>
      <c r="C200" t="s">
        <v>556</v>
      </c>
      <c r="D200" t="s">
        <v>22</v>
      </c>
      <c r="F200" t="s">
        <v>11</v>
      </c>
      <c r="G200" s="3"/>
      <c r="I200" s="3"/>
      <c r="J200" s="3" t="s">
        <v>219</v>
      </c>
      <c r="K200" s="14">
        <v>45895</v>
      </c>
      <c r="L200" s="3" t="s">
        <v>568</v>
      </c>
      <c r="M200" s="1" t="s">
        <v>104</v>
      </c>
      <c r="N200" t="s">
        <v>99</v>
      </c>
      <c r="O200" t="s">
        <v>12</v>
      </c>
      <c r="Q200" s="11">
        <v>45968</v>
      </c>
      <c r="R200">
        <v>1</v>
      </c>
      <c r="S200" t="s">
        <v>558</v>
      </c>
      <c r="T200" t="s">
        <v>9</v>
      </c>
      <c r="U200" t="s">
        <v>99</v>
      </c>
      <c r="V200" s="3"/>
    </row>
    <row r="201" spans="1:22" ht="30" x14ac:dyDescent="0.25">
      <c r="A201" s="2">
        <v>45839</v>
      </c>
      <c r="B201" t="s">
        <v>314</v>
      </c>
      <c r="C201" t="s">
        <v>569</v>
      </c>
      <c r="D201" t="s">
        <v>16</v>
      </c>
      <c r="F201" t="s">
        <v>17</v>
      </c>
      <c r="G201" s="3"/>
      <c r="I201" s="3"/>
      <c r="J201" s="3" t="s">
        <v>219</v>
      </c>
      <c r="K201" s="14">
        <v>45952</v>
      </c>
      <c r="L201" s="3" t="s">
        <v>570</v>
      </c>
      <c r="M201" s="1" t="s">
        <v>104</v>
      </c>
      <c r="N201" t="s">
        <v>99</v>
      </c>
      <c r="O201" t="s">
        <v>12</v>
      </c>
      <c r="Q201" s="14"/>
      <c r="R201">
        <v>0</v>
      </c>
      <c r="S201" t="s">
        <v>558</v>
      </c>
      <c r="T201" t="s">
        <v>9</v>
      </c>
      <c r="U201" t="s">
        <v>99</v>
      </c>
      <c r="V201" s="3"/>
    </row>
    <row r="202" spans="1:22" ht="75" x14ac:dyDescent="0.25">
      <c r="A202" s="2">
        <v>45839</v>
      </c>
      <c r="B202" t="s">
        <v>314</v>
      </c>
      <c r="C202" t="s">
        <v>564</v>
      </c>
      <c r="D202" t="s">
        <v>26</v>
      </c>
      <c r="F202" t="s">
        <v>15</v>
      </c>
      <c r="G202" s="3"/>
      <c r="I202" s="3"/>
      <c r="J202" s="3" t="s">
        <v>219</v>
      </c>
      <c r="K202" s="14">
        <v>45922</v>
      </c>
      <c r="L202" s="3" t="s">
        <v>571</v>
      </c>
      <c r="M202" s="1" t="s">
        <v>104</v>
      </c>
      <c r="N202" t="s">
        <v>99</v>
      </c>
      <c r="O202" t="s">
        <v>12</v>
      </c>
      <c r="Q202" s="14"/>
      <c r="R202">
        <v>0</v>
      </c>
      <c r="S202" t="s">
        <v>558</v>
      </c>
      <c r="T202" t="s">
        <v>9</v>
      </c>
      <c r="U202" t="s">
        <v>99</v>
      </c>
      <c r="V202" s="3"/>
    </row>
    <row r="203" spans="1:22" x14ac:dyDescent="0.25">
      <c r="A203" s="2">
        <v>45558</v>
      </c>
      <c r="B203" t="s">
        <v>95</v>
      </c>
      <c r="C203" t="s">
        <v>437</v>
      </c>
      <c r="D203" t="s">
        <v>572</v>
      </c>
      <c r="E203" t="s">
        <v>573</v>
      </c>
      <c r="F203" t="s">
        <v>15</v>
      </c>
      <c r="G203" s="3"/>
      <c r="I203" s="3"/>
      <c r="J203" s="28" t="s">
        <v>440</v>
      </c>
      <c r="K203" s="15">
        <v>45626</v>
      </c>
      <c r="M203" t="s">
        <v>98</v>
      </c>
      <c r="N203" t="s">
        <v>99</v>
      </c>
      <c r="O203" t="s">
        <v>14</v>
      </c>
      <c r="Q203" s="14">
        <v>45728</v>
      </c>
      <c r="R203" s="26">
        <v>4</v>
      </c>
      <c r="S203" s="26"/>
      <c r="T203" t="s">
        <v>441</v>
      </c>
      <c r="U203" t="s">
        <v>99</v>
      </c>
      <c r="V203" t="s">
        <v>437</v>
      </c>
    </row>
    <row r="204" spans="1:22" x14ac:dyDescent="0.25">
      <c r="A204" s="2">
        <v>45558</v>
      </c>
      <c r="B204" t="s">
        <v>95</v>
      </c>
      <c r="D204" s="27" t="s">
        <v>574</v>
      </c>
      <c r="F204" t="s">
        <v>17</v>
      </c>
      <c r="G204" s="3"/>
      <c r="I204" s="3"/>
      <c r="J204" s="3"/>
      <c r="K204" s="3"/>
      <c r="M204" t="s">
        <v>98</v>
      </c>
      <c r="N204" t="s">
        <v>99</v>
      </c>
      <c r="O204" t="s">
        <v>14</v>
      </c>
      <c r="Q204" s="14"/>
      <c r="R204">
        <v>2</v>
      </c>
      <c r="S204"/>
      <c r="T204" t="s">
        <v>470</v>
      </c>
      <c r="U204" t="s">
        <v>99</v>
      </c>
      <c r="V204" s="3"/>
    </row>
    <row r="205" spans="1:22" x14ac:dyDescent="0.25">
      <c r="B205" t="s">
        <v>95</v>
      </c>
      <c r="C205" t="s">
        <v>575</v>
      </c>
      <c r="D205" s="24" t="s">
        <v>576</v>
      </c>
      <c r="E205" s="1"/>
      <c r="F205" s="1" t="s">
        <v>11</v>
      </c>
      <c r="G205" s="10"/>
      <c r="H205" s="1"/>
      <c r="I205" s="10"/>
      <c r="J205" s="10"/>
      <c r="K205" s="10"/>
      <c r="L205" s="10"/>
      <c r="M205" s="1" t="s">
        <v>104</v>
      </c>
      <c r="N205" s="1"/>
      <c r="O205" s="1" t="s">
        <v>12</v>
      </c>
      <c r="P205" s="10"/>
      <c r="Q205" s="11"/>
      <c r="R205" s="1">
        <v>0</v>
      </c>
      <c r="S205"/>
      <c r="T205" t="s">
        <v>194</v>
      </c>
      <c r="U205"/>
      <c r="V205" s="3"/>
    </row>
    <row r="206" spans="1:22" x14ac:dyDescent="0.25">
      <c r="B206" t="s">
        <v>95</v>
      </c>
      <c r="C206" t="s">
        <v>577</v>
      </c>
      <c r="D206" s="24" t="s">
        <v>578</v>
      </c>
      <c r="E206" s="1"/>
      <c r="F206" s="1" t="s">
        <v>11</v>
      </c>
      <c r="G206" s="10"/>
      <c r="H206" s="1"/>
      <c r="I206" s="10"/>
      <c r="J206" s="10"/>
      <c r="K206" s="10"/>
      <c r="L206" s="10"/>
      <c r="M206" s="1" t="s">
        <v>104</v>
      </c>
      <c r="N206" s="1"/>
      <c r="O206" s="1" t="s">
        <v>12</v>
      </c>
      <c r="P206" s="10"/>
      <c r="Q206" s="11"/>
      <c r="R206" s="1">
        <v>0</v>
      </c>
      <c r="S206"/>
      <c r="T206" t="s">
        <v>194</v>
      </c>
      <c r="U206"/>
      <c r="V206" s="3"/>
    </row>
    <row r="207" spans="1:22" x14ac:dyDescent="0.25">
      <c r="A207" s="2">
        <v>45527</v>
      </c>
      <c r="C207" t="s">
        <v>281</v>
      </c>
      <c r="D207" s="1" t="s">
        <v>579</v>
      </c>
      <c r="E207" s="1"/>
      <c r="F207" s="1" t="s">
        <v>11</v>
      </c>
      <c r="G207" s="10"/>
      <c r="H207" s="1"/>
      <c r="I207" s="10"/>
      <c r="J207" s="10"/>
      <c r="K207" s="10"/>
      <c r="L207" s="10"/>
      <c r="M207" s="1" t="s">
        <v>98</v>
      </c>
      <c r="N207" s="1" t="s">
        <v>99</v>
      </c>
      <c r="O207" s="1" t="s">
        <v>14</v>
      </c>
      <c r="P207" s="10"/>
      <c r="Q207" s="11">
        <v>45587</v>
      </c>
      <c r="R207" s="1">
        <v>1</v>
      </c>
      <c r="S207" s="23" t="s">
        <v>580</v>
      </c>
      <c r="T207" t="s">
        <v>286</v>
      </c>
      <c r="U207" s="3" t="s">
        <v>99</v>
      </c>
      <c r="V207" s="3"/>
    </row>
    <row r="208" spans="1:22" ht="180" x14ac:dyDescent="0.25">
      <c r="A208" s="2">
        <v>45986</v>
      </c>
      <c r="B208" t="s">
        <v>95</v>
      </c>
      <c r="C208" t="s">
        <v>167</v>
      </c>
      <c r="D208" s="10" t="s">
        <v>74</v>
      </c>
      <c r="E208" s="10" t="s">
        <v>581</v>
      </c>
      <c r="F208" s="1" t="s">
        <v>11</v>
      </c>
      <c r="G208" s="10"/>
      <c r="H208" s="10" t="s">
        <v>582</v>
      </c>
      <c r="I208" s="10"/>
      <c r="J208" s="10"/>
      <c r="K208" s="10">
        <v>2026</v>
      </c>
      <c r="L208" s="10"/>
      <c r="M208" s="1" t="s">
        <v>140</v>
      </c>
      <c r="N208" s="1" t="s">
        <v>99</v>
      </c>
      <c r="O208" s="1" t="s">
        <v>12</v>
      </c>
      <c r="P208" s="10" t="s">
        <v>583</v>
      </c>
      <c r="Q208" s="11">
        <v>46058</v>
      </c>
      <c r="R208" s="1">
        <v>1</v>
      </c>
      <c r="S208" t="s">
        <v>584</v>
      </c>
      <c r="T208" t="s">
        <v>71</v>
      </c>
      <c r="U208" s="3" t="s">
        <v>99</v>
      </c>
      <c r="V208" s="3" t="s">
        <v>585</v>
      </c>
    </row>
    <row r="209" spans="1:22" ht="210" x14ac:dyDescent="0.25">
      <c r="A209" s="2">
        <v>45986</v>
      </c>
      <c r="B209" t="s">
        <v>95</v>
      </c>
      <c r="C209" t="s">
        <v>167</v>
      </c>
      <c r="D209" s="10" t="s">
        <v>72</v>
      </c>
      <c r="E209" s="10" t="s">
        <v>586</v>
      </c>
      <c r="F209" s="1" t="s">
        <v>17</v>
      </c>
      <c r="G209" s="10"/>
      <c r="H209" s="10" t="s">
        <v>587</v>
      </c>
      <c r="I209" s="10"/>
      <c r="J209" s="10"/>
      <c r="K209" s="10">
        <v>2026</v>
      </c>
      <c r="L209" s="10"/>
      <c r="M209" s="1" t="s">
        <v>98</v>
      </c>
      <c r="N209" s="1" t="s">
        <v>99</v>
      </c>
      <c r="O209" s="1" t="s">
        <v>14</v>
      </c>
      <c r="P209" s="10"/>
      <c r="Q209" s="11">
        <v>46031</v>
      </c>
      <c r="R209" s="1">
        <v>1</v>
      </c>
      <c r="S209" t="s">
        <v>588</v>
      </c>
      <c r="T209" t="s">
        <v>71</v>
      </c>
      <c r="U209" s="3" t="s">
        <v>99</v>
      </c>
      <c r="V209" s="3" t="s">
        <v>585</v>
      </c>
    </row>
    <row r="210" spans="1:22" ht="75" x14ac:dyDescent="0.25">
      <c r="A210" s="2">
        <v>45986</v>
      </c>
      <c r="B210" t="s">
        <v>95</v>
      </c>
      <c r="C210" t="s">
        <v>167</v>
      </c>
      <c r="D210" s="10" t="s">
        <v>76</v>
      </c>
      <c r="E210" s="10" t="s">
        <v>589</v>
      </c>
      <c r="F210" s="1" t="s">
        <v>17</v>
      </c>
      <c r="G210" s="10"/>
      <c r="H210" s="10"/>
      <c r="I210" s="10"/>
      <c r="J210" s="10" t="s">
        <v>590</v>
      </c>
      <c r="K210" s="10">
        <v>2026</v>
      </c>
      <c r="L210" s="10" t="s">
        <v>591</v>
      </c>
      <c r="M210" s="1" t="s">
        <v>98</v>
      </c>
      <c r="N210" s="1" t="s">
        <v>99</v>
      </c>
      <c r="O210" s="1" t="s">
        <v>28</v>
      </c>
      <c r="P210" s="10" t="s">
        <v>592</v>
      </c>
      <c r="Q210" s="11"/>
      <c r="R210" s="1">
        <v>0</v>
      </c>
      <c r="S210" t="s">
        <v>593</v>
      </c>
      <c r="T210" t="s">
        <v>71</v>
      </c>
      <c r="U210" s="3" t="s">
        <v>99</v>
      </c>
      <c r="V210" s="3" t="s">
        <v>585</v>
      </c>
    </row>
    <row r="211" spans="1:22" ht="105" x14ac:dyDescent="0.25">
      <c r="A211" s="2">
        <v>45986</v>
      </c>
      <c r="B211" t="s">
        <v>95</v>
      </c>
      <c r="C211" t="s">
        <v>167</v>
      </c>
      <c r="D211" s="1" t="s">
        <v>73</v>
      </c>
      <c r="E211" s="10" t="s">
        <v>594</v>
      </c>
      <c r="F211" s="1" t="s">
        <v>17</v>
      </c>
      <c r="G211" s="10"/>
      <c r="H211" s="1"/>
      <c r="I211" s="10"/>
      <c r="J211" s="10"/>
      <c r="K211" s="10">
        <v>2026</v>
      </c>
      <c r="L211" s="10"/>
      <c r="M211" s="1" t="s">
        <v>98</v>
      </c>
      <c r="N211" s="1" t="s">
        <v>99</v>
      </c>
      <c r="O211" s="1" t="s">
        <v>14</v>
      </c>
      <c r="P211" s="10"/>
      <c r="Q211" s="11">
        <v>46031</v>
      </c>
      <c r="R211" s="1">
        <v>1</v>
      </c>
      <c r="S211" t="s">
        <v>595</v>
      </c>
      <c r="T211" t="s">
        <v>71</v>
      </c>
      <c r="U211" s="3" t="s">
        <v>99</v>
      </c>
      <c r="V211" s="3" t="s">
        <v>585</v>
      </c>
    </row>
    <row r="212" spans="1:22" ht="60" x14ac:dyDescent="0.25">
      <c r="A212" s="2">
        <v>45986</v>
      </c>
      <c r="B212" t="s">
        <v>95</v>
      </c>
      <c r="C212" t="s">
        <v>167</v>
      </c>
      <c r="D212" s="1" t="s">
        <v>75</v>
      </c>
      <c r="E212" t="s">
        <v>596</v>
      </c>
      <c r="F212" s="1" t="s">
        <v>17</v>
      </c>
      <c r="G212" s="10"/>
      <c r="H212" s="1"/>
      <c r="I212" s="10"/>
      <c r="J212" s="10"/>
      <c r="K212" s="10">
        <v>2026</v>
      </c>
      <c r="L212" s="10"/>
      <c r="M212" s="1" t="s">
        <v>98</v>
      </c>
      <c r="N212" s="1" t="s">
        <v>99</v>
      </c>
      <c r="O212" s="1" t="s">
        <v>14</v>
      </c>
      <c r="P212" s="10" t="s">
        <v>597</v>
      </c>
      <c r="Q212" s="11">
        <v>46058</v>
      </c>
      <c r="R212" s="1">
        <v>2</v>
      </c>
      <c r="S212" t="s">
        <v>598</v>
      </c>
      <c r="T212" t="s">
        <v>71</v>
      </c>
      <c r="U212" s="3" t="s">
        <v>99</v>
      </c>
      <c r="V212" s="3" t="s">
        <v>585</v>
      </c>
    </row>
    <row r="213" spans="1:22" ht="75" x14ac:dyDescent="0.25">
      <c r="A213" s="2">
        <v>46016</v>
      </c>
      <c r="B213" t="s">
        <v>95</v>
      </c>
      <c r="C213" t="s">
        <v>599</v>
      </c>
      <c r="D213" s="1" t="s">
        <v>70</v>
      </c>
      <c r="E213" s="10" t="s">
        <v>600</v>
      </c>
      <c r="F213" s="1" t="s">
        <v>11</v>
      </c>
      <c r="G213" s="10"/>
      <c r="H213" s="1"/>
      <c r="I213" s="10"/>
      <c r="J213" s="10"/>
      <c r="K213" s="10"/>
      <c r="L213" s="10"/>
      <c r="M213" s="1" t="s">
        <v>98</v>
      </c>
      <c r="N213" s="1" t="s">
        <v>99</v>
      </c>
      <c r="O213" s="1" t="s">
        <v>28</v>
      </c>
      <c r="P213" s="10" t="s">
        <v>601</v>
      </c>
      <c r="Q213" s="11">
        <v>46024</v>
      </c>
      <c r="R213" s="1">
        <v>0</v>
      </c>
      <c r="S213"/>
      <c r="T213" s="3" t="s">
        <v>68</v>
      </c>
      <c r="U213" s="3" t="s">
        <v>99</v>
      </c>
      <c r="V213" s="3"/>
    </row>
    <row r="214" spans="1:22" x14ac:dyDescent="0.25">
      <c r="A214" s="2">
        <v>45819</v>
      </c>
      <c r="B214" t="s">
        <v>95</v>
      </c>
      <c r="C214" t="s">
        <v>523</v>
      </c>
      <c r="D214" t="s">
        <v>67</v>
      </c>
      <c r="E214" s="1"/>
      <c r="F214" s="1" t="s">
        <v>17</v>
      </c>
      <c r="G214" s="10"/>
      <c r="H214" s="1"/>
      <c r="I214" s="10"/>
      <c r="J214" s="10"/>
      <c r="K214" s="10"/>
      <c r="L214" s="10"/>
      <c r="M214" s="1" t="s">
        <v>98</v>
      </c>
      <c r="N214" s="1" t="s">
        <v>99</v>
      </c>
      <c r="O214" s="1" t="s">
        <v>14</v>
      </c>
      <c r="P214" s="10"/>
      <c r="Q214" s="11">
        <v>45825</v>
      </c>
      <c r="R214" s="1">
        <v>1</v>
      </c>
      <c r="S214"/>
      <c r="T214" t="s">
        <v>65</v>
      </c>
      <c r="U214" t="s">
        <v>99</v>
      </c>
      <c r="V214" s="3"/>
    </row>
    <row r="215" spans="1:22" ht="165" x14ac:dyDescent="0.25">
      <c r="A215" s="2">
        <v>46016</v>
      </c>
      <c r="B215" t="s">
        <v>95</v>
      </c>
      <c r="C215" t="s">
        <v>599</v>
      </c>
      <c r="D215" s="1" t="s">
        <v>69</v>
      </c>
      <c r="E215" s="10" t="s">
        <v>132</v>
      </c>
      <c r="F215" s="1" t="s">
        <v>17</v>
      </c>
      <c r="G215" s="10"/>
      <c r="H215" s="1"/>
      <c r="I215" s="10"/>
      <c r="J215" s="10"/>
      <c r="K215" s="10"/>
      <c r="M215" s="1" t="s">
        <v>98</v>
      </c>
      <c r="N215" s="1" t="s">
        <v>99</v>
      </c>
      <c r="O215" s="1" t="s">
        <v>14</v>
      </c>
      <c r="P215" s="10"/>
      <c r="Q215" s="11">
        <v>46029</v>
      </c>
      <c r="R215" s="1">
        <v>1</v>
      </c>
      <c r="S215"/>
      <c r="T215" s="3" t="s">
        <v>68</v>
      </c>
      <c r="U215" s="3" t="s">
        <v>99</v>
      </c>
      <c r="V215" s="3"/>
    </row>
    <row r="216" spans="1:22" ht="90" x14ac:dyDescent="0.25">
      <c r="A216" s="2">
        <v>46055</v>
      </c>
      <c r="B216" t="s">
        <v>95</v>
      </c>
      <c r="C216" t="s">
        <v>602</v>
      </c>
      <c r="D216" s="37" t="s">
        <v>603</v>
      </c>
      <c r="E216" s="10" t="s">
        <v>604</v>
      </c>
      <c r="F216" s="1" t="s">
        <v>15</v>
      </c>
      <c r="G216" s="10"/>
      <c r="H216" s="1"/>
      <c r="I216" s="10"/>
      <c r="J216" s="10"/>
      <c r="K216" s="10"/>
      <c r="L216" s="10"/>
      <c r="M216" s="1" t="s">
        <v>104</v>
      </c>
      <c r="N216" s="1"/>
      <c r="O216" s="1" t="s">
        <v>12</v>
      </c>
      <c r="P216" s="10"/>
      <c r="Q216" s="11"/>
      <c r="R216" s="1">
        <v>0</v>
      </c>
      <c r="S216" t="s">
        <v>605</v>
      </c>
      <c r="T216" t="s">
        <v>606</v>
      </c>
      <c r="U216" t="s">
        <v>99</v>
      </c>
      <c r="V216" s="3"/>
    </row>
    <row r="217" spans="1:22" ht="135" x14ac:dyDescent="0.25">
      <c r="A217" s="2">
        <v>46055</v>
      </c>
      <c r="B217" t="s">
        <v>95</v>
      </c>
      <c r="C217" t="s">
        <v>602</v>
      </c>
      <c r="D217" s="38" t="s">
        <v>607</v>
      </c>
      <c r="E217" s="10" t="s">
        <v>608</v>
      </c>
      <c r="F217" s="1" t="s">
        <v>15</v>
      </c>
      <c r="G217" s="10"/>
      <c r="H217" s="1"/>
      <c r="I217" s="10"/>
      <c r="J217" s="10"/>
      <c r="K217" s="10"/>
      <c r="L217" s="10"/>
      <c r="M217" s="1" t="s">
        <v>104</v>
      </c>
      <c r="N217" s="1"/>
      <c r="O217" s="1" t="s">
        <v>12</v>
      </c>
      <c r="P217" s="10"/>
      <c r="Q217" s="11"/>
      <c r="R217" s="1">
        <v>0</v>
      </c>
      <c r="S217" t="s">
        <v>609</v>
      </c>
      <c r="T217" t="s">
        <v>606</v>
      </c>
      <c r="U217" t="s">
        <v>99</v>
      </c>
      <c r="V217" s="3"/>
    </row>
    <row r="218" spans="1:22" ht="120" x14ac:dyDescent="0.25">
      <c r="A218" s="2">
        <v>46055</v>
      </c>
      <c r="B218" t="s">
        <v>95</v>
      </c>
      <c r="C218" t="s">
        <v>602</v>
      </c>
      <c r="D218" s="39" t="s">
        <v>610</v>
      </c>
      <c r="E218" s="3" t="s">
        <v>611</v>
      </c>
      <c r="F218" t="s">
        <v>11</v>
      </c>
      <c r="G218" s="3"/>
      <c r="I218" s="3"/>
      <c r="J218" s="3"/>
      <c r="K218" s="3"/>
      <c r="M218" s="1" t="s">
        <v>104</v>
      </c>
      <c r="O218" s="1" t="s">
        <v>12</v>
      </c>
      <c r="Q218" s="14"/>
      <c r="R218" s="1">
        <v>0</v>
      </c>
      <c r="S218" t="s">
        <v>612</v>
      </c>
      <c r="T218" t="s">
        <v>606</v>
      </c>
      <c r="U218" t="s">
        <v>99</v>
      </c>
      <c r="V218" s="3"/>
    </row>
    <row r="219" spans="1:22" ht="135" x14ac:dyDescent="0.25">
      <c r="A219" s="2">
        <v>46055</v>
      </c>
      <c r="B219" t="s">
        <v>95</v>
      </c>
      <c r="C219" t="s">
        <v>602</v>
      </c>
      <c r="D219" s="39" t="s">
        <v>613</v>
      </c>
      <c r="E219" s="3" t="s">
        <v>614</v>
      </c>
      <c r="F219" t="s">
        <v>11</v>
      </c>
      <c r="G219" s="3"/>
      <c r="I219" s="3"/>
      <c r="J219" s="3"/>
      <c r="K219" s="3"/>
      <c r="M219" s="1" t="s">
        <v>104</v>
      </c>
      <c r="O219" s="1" t="s">
        <v>12</v>
      </c>
      <c r="Q219" s="14"/>
      <c r="R219" s="1">
        <v>0</v>
      </c>
      <c r="S219" t="s">
        <v>615</v>
      </c>
      <c r="T219" t="s">
        <v>606</v>
      </c>
      <c r="U219" t="s">
        <v>99</v>
      </c>
      <c r="V219" s="3"/>
    </row>
    <row r="220" spans="1:22" ht="195" x14ac:dyDescent="0.25">
      <c r="A220" s="2">
        <v>46055</v>
      </c>
      <c r="B220" t="s">
        <v>95</v>
      </c>
      <c r="C220" t="s">
        <v>602</v>
      </c>
      <c r="D220" s="39" t="s">
        <v>616</v>
      </c>
      <c r="E220" s="3" t="s">
        <v>617</v>
      </c>
      <c r="F220" t="s">
        <v>11</v>
      </c>
      <c r="G220" s="3"/>
      <c r="I220" s="3"/>
      <c r="J220" s="3"/>
      <c r="K220" s="3"/>
      <c r="M220" s="1" t="s">
        <v>104</v>
      </c>
      <c r="O220" s="1" t="s">
        <v>12</v>
      </c>
      <c r="Q220" s="14"/>
      <c r="R220" s="1">
        <v>0</v>
      </c>
      <c r="S220" t="s">
        <v>618</v>
      </c>
      <c r="T220" t="s">
        <v>606</v>
      </c>
      <c r="U220" t="s">
        <v>99</v>
      </c>
      <c r="V220" s="3"/>
    </row>
    <row r="221" spans="1:22" ht="180" x14ac:dyDescent="0.25">
      <c r="A221" s="2">
        <v>46055</v>
      </c>
      <c r="B221" t="s">
        <v>95</v>
      </c>
      <c r="C221" t="s">
        <v>602</v>
      </c>
      <c r="D221" s="39" t="s">
        <v>619</v>
      </c>
      <c r="E221" s="3" t="s">
        <v>620</v>
      </c>
      <c r="F221" t="s">
        <v>11</v>
      </c>
      <c r="G221" s="3"/>
      <c r="I221" s="3"/>
      <c r="J221" s="3"/>
      <c r="K221" s="3"/>
      <c r="M221" s="1" t="s">
        <v>104</v>
      </c>
      <c r="O221" s="1" t="s">
        <v>12</v>
      </c>
      <c r="Q221" s="14"/>
      <c r="R221" s="1">
        <v>0</v>
      </c>
      <c r="S221" t="s">
        <v>621</v>
      </c>
      <c r="T221" t="s">
        <v>606</v>
      </c>
      <c r="U221" t="s">
        <v>99</v>
      </c>
      <c r="V221" s="3"/>
    </row>
    <row r="222" spans="1:22" ht="300" x14ac:dyDescent="0.25">
      <c r="A222" s="2">
        <v>46055</v>
      </c>
      <c r="B222" t="s">
        <v>95</v>
      </c>
      <c r="C222" t="s">
        <v>602</v>
      </c>
      <c r="D222" s="39" t="s">
        <v>622</v>
      </c>
      <c r="E222" s="3" t="s">
        <v>623</v>
      </c>
      <c r="F222" t="s">
        <v>17</v>
      </c>
      <c r="G222" s="3"/>
      <c r="I222" s="3"/>
      <c r="J222" s="3"/>
      <c r="K222" s="3"/>
      <c r="M222" s="1" t="s">
        <v>104</v>
      </c>
      <c r="O222" s="1" t="s">
        <v>12</v>
      </c>
      <c r="Q222" s="14"/>
      <c r="R222" s="1">
        <v>0</v>
      </c>
      <c r="S222" t="s">
        <v>624</v>
      </c>
      <c r="T222" t="s">
        <v>606</v>
      </c>
      <c r="U222" t="s">
        <v>99</v>
      </c>
      <c r="V222" s="3"/>
    </row>
    <row r="223" spans="1:22" ht="150" x14ac:dyDescent="0.25">
      <c r="A223" s="2">
        <v>46055</v>
      </c>
      <c r="B223" t="s">
        <v>95</v>
      </c>
      <c r="C223" t="s">
        <v>602</v>
      </c>
      <c r="D223" s="39" t="s">
        <v>625</v>
      </c>
      <c r="E223" s="3" t="s">
        <v>626</v>
      </c>
      <c r="F223" t="s">
        <v>17</v>
      </c>
      <c r="G223" s="3"/>
      <c r="I223" s="3"/>
      <c r="J223" s="3"/>
      <c r="K223" s="3"/>
      <c r="M223" s="1" t="s">
        <v>104</v>
      </c>
      <c r="O223" s="1" t="s">
        <v>12</v>
      </c>
      <c r="Q223" s="14"/>
      <c r="R223" s="1">
        <v>0</v>
      </c>
      <c r="S223" t="s">
        <v>627</v>
      </c>
      <c r="T223" t="s">
        <v>606</v>
      </c>
      <c r="U223" t="s">
        <v>99</v>
      </c>
      <c r="V223" s="3"/>
    </row>
    <row r="224" spans="1:22" ht="195" x14ac:dyDescent="0.25">
      <c r="A224" s="2">
        <v>46055</v>
      </c>
      <c r="B224" t="s">
        <v>95</v>
      </c>
      <c r="C224" t="s">
        <v>602</v>
      </c>
      <c r="D224" s="39" t="s">
        <v>628</v>
      </c>
      <c r="E224" s="3" t="s">
        <v>629</v>
      </c>
      <c r="F224" t="s">
        <v>17</v>
      </c>
      <c r="G224" s="3"/>
      <c r="I224" s="3"/>
      <c r="J224" s="3"/>
      <c r="K224" s="3"/>
      <c r="M224" s="1" t="s">
        <v>104</v>
      </c>
      <c r="O224" s="1" t="s">
        <v>12</v>
      </c>
      <c r="Q224" s="14"/>
      <c r="R224" s="1">
        <v>0</v>
      </c>
      <c r="S224" t="s">
        <v>630</v>
      </c>
      <c r="T224" t="s">
        <v>606</v>
      </c>
      <c r="U224" t="s">
        <v>99</v>
      </c>
      <c r="V224" s="3"/>
    </row>
    <row r="225" spans="1:22" ht="180" x14ac:dyDescent="0.25">
      <c r="A225" s="2">
        <v>46055</v>
      </c>
      <c r="B225" t="s">
        <v>95</v>
      </c>
      <c r="C225" t="s">
        <v>602</v>
      </c>
      <c r="D225" s="39" t="s">
        <v>631</v>
      </c>
      <c r="E225" s="3" t="s">
        <v>632</v>
      </c>
      <c r="F225" t="s">
        <v>17</v>
      </c>
      <c r="G225" s="3"/>
      <c r="I225" s="3"/>
      <c r="J225" s="3"/>
      <c r="K225" s="3"/>
      <c r="M225" s="1" t="s">
        <v>104</v>
      </c>
      <c r="O225" s="1" t="s">
        <v>12</v>
      </c>
      <c r="Q225" s="14"/>
      <c r="R225" s="1">
        <v>0</v>
      </c>
      <c r="S225" t="s">
        <v>633</v>
      </c>
      <c r="T225" t="s">
        <v>606</v>
      </c>
      <c r="U225" t="s">
        <v>99</v>
      </c>
      <c r="V225" s="3"/>
    </row>
    <row r="226" spans="1:22" ht="105" x14ac:dyDescent="0.25">
      <c r="A226" s="2">
        <v>46055</v>
      </c>
      <c r="B226" t="s">
        <v>95</v>
      </c>
      <c r="C226" t="s">
        <v>602</v>
      </c>
      <c r="D226" s="40" t="s">
        <v>634</v>
      </c>
      <c r="E226" s="3" t="s">
        <v>635</v>
      </c>
      <c r="F226" t="s">
        <v>17</v>
      </c>
      <c r="G226" s="3"/>
      <c r="I226" s="3"/>
      <c r="J226" s="3"/>
      <c r="K226" s="3"/>
      <c r="M226" s="1" t="s">
        <v>104</v>
      </c>
      <c r="O226" s="1" t="s">
        <v>12</v>
      </c>
      <c r="Q226" s="14"/>
      <c r="R226" s="1">
        <v>0</v>
      </c>
      <c r="S226" t="s">
        <v>636</v>
      </c>
      <c r="T226" t="s">
        <v>606</v>
      </c>
      <c r="U226" t="s">
        <v>99</v>
      </c>
      <c r="V226" s="3"/>
    </row>
  </sheetData>
  <phoneticPr fontId="1" type="noConversion"/>
  <conditionalFormatting sqref="F2:F226">
    <cfRule type="expression" dxfId="238" priority="10">
      <formula>$F2="Baja"</formula>
    </cfRule>
    <cfRule type="expression" dxfId="237" priority="11">
      <formula>$F2="Alta"</formula>
    </cfRule>
    <cfRule type="expression" dxfId="236" priority="12">
      <formula>$F2="Media"</formula>
    </cfRule>
    <cfRule type="expression" dxfId="235" priority="13">
      <formula>$F2="Critica"</formula>
    </cfRule>
  </conditionalFormatting>
  <conditionalFormatting sqref="O2:O226">
    <cfRule type="expression" dxfId="234" priority="1">
      <formula>$O2="Impedimento"</formula>
    </cfRule>
    <cfRule type="expression" dxfId="233" priority="2">
      <formula>$O2="Vulnerable"</formula>
    </cfRule>
    <cfRule type="expression" dxfId="232" priority="3">
      <formula>$O2="Pendiente"</formula>
    </cfRule>
    <cfRule type="expression" dxfId="231" priority="4">
      <formula>$O2="Corregido"</formula>
    </cfRule>
    <cfRule type="expression" dxfId="230" priority="5">
      <formula>$O2="Desestimado"</formula>
    </cfRule>
  </conditionalFormatting>
  <dataValidations count="3">
    <dataValidation type="list" allowBlank="1" showInputMessage="1" showErrorMessage="1" sqref="O2:O226" xr:uid="{631C9447-D1A3-4830-B0E1-14B7477518BC}">
      <formula1>INDIRECT("Table8[Resultado Re Test]")</formula1>
    </dataValidation>
    <dataValidation type="list" allowBlank="1" showInputMessage="1" showErrorMessage="1" sqref="M2:M226" xr:uid="{6D86BC99-AE65-4A79-8932-C3CEDD614A3D}">
      <formula1>INDIRECT("TableEstatus[Estatus]")</formula1>
    </dataValidation>
    <dataValidation type="list" allowBlank="1" showInputMessage="1" showErrorMessage="1" sqref="F2:F226" xr:uid="{3FEC7B69-7DFD-46C9-B542-0439083FEC6C}">
      <formula1>INDIRECT("TableSeveridad[Severidad]")</formula1>
    </dataValidation>
  </dataValidations>
  <pageMargins left="0.7" right="0.7" top="0.75" bottom="0.75" header="0.3" footer="0.3"/>
  <pageSetup orientation="portrait" r:id="rId1"/>
  <ignoredErrors>
    <ignoredError sqref="E208:E209" calculatedColumn="1"/>
  </ignoredErrors>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B986E-4A33-4CE7-9B6B-ADF034B04673}">
  <sheetPr codeName="Sheet2"/>
  <dimension ref="A1:G6"/>
  <sheetViews>
    <sheetView workbookViewId="0">
      <selection activeCell="G7" sqref="G7"/>
    </sheetView>
  </sheetViews>
  <sheetFormatPr defaultColWidth="9.140625" defaultRowHeight="15" x14ac:dyDescent="0.25"/>
  <cols>
    <col min="1" max="1" width="12.140625" bestFit="1" customWidth="1"/>
    <col min="3" max="3" width="17" bestFit="1" customWidth="1"/>
    <col min="5" max="5" width="19.28515625" bestFit="1" customWidth="1"/>
    <col min="7" max="7" width="18.85546875" customWidth="1"/>
    <col min="9" max="9" width="15.140625" bestFit="1" customWidth="1"/>
  </cols>
  <sheetData>
    <row r="1" spans="1:7" x14ac:dyDescent="0.25">
      <c r="A1" t="s">
        <v>4</v>
      </c>
      <c r="C1" t="s">
        <v>87</v>
      </c>
      <c r="E1" s="6" t="s">
        <v>78</v>
      </c>
      <c r="G1" t="s">
        <v>5</v>
      </c>
    </row>
    <row r="2" spans="1:7" x14ac:dyDescent="0.25">
      <c r="A2" t="s">
        <v>15</v>
      </c>
      <c r="C2" t="s">
        <v>140</v>
      </c>
      <c r="E2" s="4" t="s">
        <v>637</v>
      </c>
      <c r="G2" t="s">
        <v>14</v>
      </c>
    </row>
    <row r="3" spans="1:7" x14ac:dyDescent="0.25">
      <c r="A3" t="s">
        <v>11</v>
      </c>
      <c r="C3" t="s">
        <v>98</v>
      </c>
      <c r="E3" s="5" t="s">
        <v>208</v>
      </c>
      <c r="G3" t="s">
        <v>104</v>
      </c>
    </row>
    <row r="4" spans="1:7" x14ac:dyDescent="0.25">
      <c r="A4" t="s">
        <v>17</v>
      </c>
      <c r="C4" t="s">
        <v>104</v>
      </c>
      <c r="E4" s="4" t="s">
        <v>314</v>
      </c>
      <c r="G4" t="s">
        <v>638</v>
      </c>
    </row>
    <row r="5" spans="1:7" x14ac:dyDescent="0.25">
      <c r="A5" t="s">
        <v>198</v>
      </c>
      <c r="C5" t="s">
        <v>522</v>
      </c>
      <c r="E5" s="5" t="s">
        <v>639</v>
      </c>
      <c r="G5" t="s">
        <v>12</v>
      </c>
    </row>
    <row r="6" spans="1:7" x14ac:dyDescent="0.25">
      <c r="E6" s="4" t="s">
        <v>95</v>
      </c>
      <c r="G6" t="s">
        <v>28</v>
      </c>
    </row>
  </sheetData>
  <dataConsolidate/>
  <dataValidations count="1">
    <dataValidation type="list" allowBlank="1" showInputMessage="1" showErrorMessage="1" sqref="I6" xr:uid="{B822319B-13BE-4853-BDBE-7ED3AC5B633C}">
      <formula1>INDIRECT("TableInstitucion[Institucion]")</formula1>
    </dataValidation>
  </dataValidations>
  <pageMargins left="0.7" right="0.7" top="0.75" bottom="0.75" header="0.3" footer="0.3"/>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5DBE6-F841-42C5-9C80-E82D63146974}">
  <dimension ref="A3:A73"/>
  <sheetViews>
    <sheetView workbookViewId="0">
      <selection activeCell="A31" sqref="A31"/>
    </sheetView>
  </sheetViews>
  <sheetFormatPr defaultRowHeight="15" x14ac:dyDescent="0.25"/>
  <cols>
    <col min="1" max="1" width="54.5703125" bestFit="1" customWidth="1"/>
  </cols>
  <sheetData>
    <row r="3" spans="1:1" x14ac:dyDescent="0.25">
      <c r="A3" s="16" t="s">
        <v>7</v>
      </c>
    </row>
    <row r="4" spans="1:1" x14ac:dyDescent="0.25">
      <c r="A4" s="17" t="s">
        <v>643</v>
      </c>
    </row>
    <row r="5" spans="1:1" x14ac:dyDescent="0.25">
      <c r="A5" s="17" t="s">
        <v>644</v>
      </c>
    </row>
    <row r="6" spans="1:1" x14ac:dyDescent="0.25">
      <c r="A6" s="17" t="s">
        <v>640</v>
      </c>
    </row>
    <row r="7" spans="1:1" x14ac:dyDescent="0.25">
      <c r="A7" s="17" t="s">
        <v>641</v>
      </c>
    </row>
    <row r="8" spans="1:1" x14ac:dyDescent="0.25">
      <c r="A8" s="29" t="s">
        <v>138</v>
      </c>
    </row>
    <row r="9" spans="1:1" x14ac:dyDescent="0.25">
      <c r="A9" s="41">
        <v>45931</v>
      </c>
    </row>
    <row r="10" spans="1:1" x14ac:dyDescent="0.25">
      <c r="A10" s="42" t="s">
        <v>11</v>
      </c>
    </row>
    <row r="11" spans="1:1" x14ac:dyDescent="0.25">
      <c r="A11" s="42" t="s">
        <v>17</v>
      </c>
    </row>
    <row r="12" spans="1:1" x14ac:dyDescent="0.25">
      <c r="A12" s="29" t="s">
        <v>255</v>
      </c>
    </row>
    <row r="13" spans="1:1" x14ac:dyDescent="0.25">
      <c r="A13" s="41">
        <v>45748</v>
      </c>
    </row>
    <row r="14" spans="1:1" x14ac:dyDescent="0.25">
      <c r="A14" s="42" t="s">
        <v>11</v>
      </c>
    </row>
    <row r="15" spans="1:1" x14ac:dyDescent="0.25">
      <c r="A15" s="42" t="s">
        <v>17</v>
      </c>
    </row>
    <row r="16" spans="1:1" x14ac:dyDescent="0.25">
      <c r="A16" s="29" t="s">
        <v>556</v>
      </c>
    </row>
    <row r="17" spans="1:1" x14ac:dyDescent="0.25">
      <c r="A17" s="41">
        <v>45839</v>
      </c>
    </row>
    <row r="18" spans="1:1" x14ac:dyDescent="0.25">
      <c r="A18" s="42" t="s">
        <v>11</v>
      </c>
    </row>
    <row r="19" spans="1:1" x14ac:dyDescent="0.25">
      <c r="A19" s="42" t="s">
        <v>15</v>
      </c>
    </row>
    <row r="20" spans="1:1" x14ac:dyDescent="0.25">
      <c r="A20" s="29" t="s">
        <v>523</v>
      </c>
    </row>
    <row r="21" spans="1:1" x14ac:dyDescent="0.25">
      <c r="A21" s="41">
        <v>45819</v>
      </c>
    </row>
    <row r="22" spans="1:1" x14ac:dyDescent="0.25">
      <c r="A22" s="42" t="s">
        <v>17</v>
      </c>
    </row>
    <row r="23" spans="1:1" x14ac:dyDescent="0.25">
      <c r="A23" s="29" t="s">
        <v>171</v>
      </c>
    </row>
    <row r="24" spans="1:1" x14ac:dyDescent="0.25">
      <c r="A24" s="41">
        <v>45682</v>
      </c>
    </row>
    <row r="25" spans="1:1" x14ac:dyDescent="0.25">
      <c r="A25" s="42" t="s">
        <v>17</v>
      </c>
    </row>
    <row r="26" spans="1:1" x14ac:dyDescent="0.25">
      <c r="A26" s="29" t="s">
        <v>183</v>
      </c>
    </row>
    <row r="27" spans="1:1" x14ac:dyDescent="0.25">
      <c r="A27" s="41">
        <v>45727</v>
      </c>
    </row>
    <row r="28" spans="1:1" x14ac:dyDescent="0.25">
      <c r="A28" s="42" t="s">
        <v>11</v>
      </c>
    </row>
    <row r="29" spans="1:1" x14ac:dyDescent="0.25">
      <c r="A29" s="42" t="s">
        <v>15</v>
      </c>
    </row>
    <row r="30" spans="1:1" x14ac:dyDescent="0.25">
      <c r="A30" s="42" t="s">
        <v>17</v>
      </c>
    </row>
    <row r="31" spans="1:1" x14ac:dyDescent="0.25">
      <c r="A31" s="29" t="s">
        <v>112</v>
      </c>
    </row>
    <row r="32" spans="1:1" x14ac:dyDescent="0.25">
      <c r="A32" s="41">
        <v>45727</v>
      </c>
    </row>
    <row r="33" spans="1:1" x14ac:dyDescent="0.25">
      <c r="A33" s="42" t="s">
        <v>11</v>
      </c>
    </row>
    <row r="34" spans="1:1" x14ac:dyDescent="0.25">
      <c r="A34" s="29" t="s">
        <v>319</v>
      </c>
    </row>
    <row r="35" spans="1:1" x14ac:dyDescent="0.25">
      <c r="A35" s="41">
        <v>45727</v>
      </c>
    </row>
    <row r="36" spans="1:1" x14ac:dyDescent="0.25">
      <c r="A36" s="42" t="s">
        <v>11</v>
      </c>
    </row>
    <row r="37" spans="1:1" x14ac:dyDescent="0.25">
      <c r="A37" s="29" t="s">
        <v>564</v>
      </c>
    </row>
    <row r="38" spans="1:1" x14ac:dyDescent="0.25">
      <c r="A38" s="41">
        <v>45839</v>
      </c>
    </row>
    <row r="39" spans="1:1" x14ac:dyDescent="0.25">
      <c r="A39" s="42" t="s">
        <v>11</v>
      </c>
    </row>
    <row r="40" spans="1:1" x14ac:dyDescent="0.25">
      <c r="A40" s="42" t="s">
        <v>15</v>
      </c>
    </row>
    <row r="41" spans="1:1" x14ac:dyDescent="0.25">
      <c r="A41" s="29" t="s">
        <v>151</v>
      </c>
    </row>
    <row r="42" spans="1:1" x14ac:dyDescent="0.25">
      <c r="A42" s="41">
        <v>45727</v>
      </c>
    </row>
    <row r="43" spans="1:1" x14ac:dyDescent="0.25">
      <c r="A43" s="42" t="s">
        <v>15</v>
      </c>
    </row>
    <row r="44" spans="1:1" x14ac:dyDescent="0.25">
      <c r="A44" s="29" t="s">
        <v>288</v>
      </c>
    </row>
    <row r="45" spans="1:1" x14ac:dyDescent="0.25">
      <c r="A45" s="41">
        <v>45727</v>
      </c>
    </row>
    <row r="46" spans="1:1" x14ac:dyDescent="0.25">
      <c r="A46" s="42" t="s">
        <v>17</v>
      </c>
    </row>
    <row r="47" spans="1:1" x14ac:dyDescent="0.25">
      <c r="A47" s="29" t="s">
        <v>148</v>
      </c>
    </row>
    <row r="48" spans="1:1" x14ac:dyDescent="0.25">
      <c r="A48" s="41">
        <v>45682</v>
      </c>
    </row>
    <row r="49" spans="1:1" x14ac:dyDescent="0.25">
      <c r="A49" s="42" t="s">
        <v>17</v>
      </c>
    </row>
    <row r="50" spans="1:1" x14ac:dyDescent="0.25">
      <c r="A50" s="29" t="s">
        <v>144</v>
      </c>
    </row>
    <row r="51" spans="1:1" x14ac:dyDescent="0.25">
      <c r="A51" s="41">
        <v>45682</v>
      </c>
    </row>
    <row r="52" spans="1:1" x14ac:dyDescent="0.25">
      <c r="A52" s="42" t="s">
        <v>15</v>
      </c>
    </row>
    <row r="53" spans="1:1" x14ac:dyDescent="0.25">
      <c r="A53" s="29" t="s">
        <v>167</v>
      </c>
    </row>
    <row r="54" spans="1:1" x14ac:dyDescent="0.25">
      <c r="A54" s="41">
        <v>45682</v>
      </c>
    </row>
    <row r="55" spans="1:1" x14ac:dyDescent="0.25">
      <c r="A55" s="42" t="s">
        <v>15</v>
      </c>
    </row>
    <row r="56" spans="1:1" x14ac:dyDescent="0.25">
      <c r="A56" s="41">
        <v>45986</v>
      </c>
    </row>
    <row r="57" spans="1:1" x14ac:dyDescent="0.25">
      <c r="A57" s="42" t="s">
        <v>11</v>
      </c>
    </row>
    <row r="58" spans="1:1" x14ac:dyDescent="0.25">
      <c r="A58" s="42" t="s">
        <v>17</v>
      </c>
    </row>
    <row r="59" spans="1:1" x14ac:dyDescent="0.25">
      <c r="A59" s="29" t="s">
        <v>492</v>
      </c>
    </row>
    <row r="60" spans="1:1" x14ac:dyDescent="0.25">
      <c r="A60" s="41">
        <v>45727</v>
      </c>
    </row>
    <row r="61" spans="1:1" x14ac:dyDescent="0.25">
      <c r="A61" s="42" t="s">
        <v>11</v>
      </c>
    </row>
    <row r="62" spans="1:1" x14ac:dyDescent="0.25">
      <c r="A62" s="29" t="s">
        <v>599</v>
      </c>
    </row>
    <row r="63" spans="1:1" x14ac:dyDescent="0.25">
      <c r="A63" s="41">
        <v>46016</v>
      </c>
    </row>
    <row r="64" spans="1:1" x14ac:dyDescent="0.25">
      <c r="A64" s="42" t="s">
        <v>11</v>
      </c>
    </row>
    <row r="65" spans="1:1" x14ac:dyDescent="0.25">
      <c r="A65" s="42" t="s">
        <v>17</v>
      </c>
    </row>
    <row r="66" spans="1:1" x14ac:dyDescent="0.25">
      <c r="A66" s="29" t="s">
        <v>175</v>
      </c>
    </row>
    <row r="67" spans="1:1" x14ac:dyDescent="0.25">
      <c r="A67" s="41">
        <v>45682</v>
      </c>
    </row>
    <row r="68" spans="1:1" x14ac:dyDescent="0.25">
      <c r="A68" s="42" t="s">
        <v>17</v>
      </c>
    </row>
    <row r="69" spans="1:1" x14ac:dyDescent="0.25">
      <c r="A69" s="29" t="s">
        <v>569</v>
      </c>
    </row>
    <row r="70" spans="1:1" x14ac:dyDescent="0.25">
      <c r="A70" s="41">
        <v>45839</v>
      </c>
    </row>
    <row r="71" spans="1:1" x14ac:dyDescent="0.25">
      <c r="A71" s="42" t="s">
        <v>17</v>
      </c>
    </row>
    <row r="72" spans="1:1" x14ac:dyDescent="0.25">
      <c r="A72" s="17" t="s">
        <v>642</v>
      </c>
    </row>
    <row r="73" spans="1:1" x14ac:dyDescent="0.25">
      <c r="A73" s="17" t="s">
        <v>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520935a-17da-4537-b5c0-fccce62b61dd">
      <Terms xmlns="http://schemas.microsoft.com/office/infopath/2007/PartnerControls"/>
    </lcf76f155ced4ddcb4097134ff3c332f>
    <TaxCatchAll xmlns="fbdf9bb3-3125-4cf0-8907-afecba77bfd7" xsi:nil="true"/>
  </documentManagement>
</p:properties>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1343D6BF8FAC0141B06C25EE65CC00D8" ma:contentTypeVersion="14" ma:contentTypeDescription="Create a new document." ma:contentTypeScope="" ma:versionID="bd5426c2030797c7311dd25039bea95f">
  <xsd:schema xmlns:xsd="http://www.w3.org/2001/XMLSchema" xmlns:xs="http://www.w3.org/2001/XMLSchema" xmlns:p="http://schemas.microsoft.com/office/2006/metadata/properties" xmlns:ns2="c520935a-17da-4537-b5c0-fccce62b61dd" xmlns:ns3="fbdf9bb3-3125-4cf0-8907-afecba77bfd7" targetNamespace="http://schemas.microsoft.com/office/2006/metadata/properties" ma:root="true" ma:fieldsID="43387a07b9e4c7a4d536399c3684fbd0" ns2:_="" ns3:_="">
    <xsd:import namespace="c520935a-17da-4537-b5c0-fccce62b61dd"/>
    <xsd:import namespace="fbdf9bb3-3125-4cf0-8907-afecba77bf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0935a-17da-4537-b5c0-fccce62b61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fbfc59c-1d08-41e6-b4e3-344466cacfe0"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bdf9bb3-3125-4cf0-8907-afecba77bfd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a7d608e6-f213-4282-95a9-127267dbe846}" ma:internalName="TaxCatchAll" ma:showField="CatchAllData" ma:web="fbdf9bb3-3125-4cf0-8907-afecba77bfd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E38025-7D5B-42A6-B8E0-D612F5968609}">
  <ds:schemaRefs>
    <ds:schemaRef ds:uri="fbdf9bb3-3125-4cf0-8907-afecba77bfd7"/>
    <ds:schemaRef ds:uri="http://purl.org/dc/elements/1.1/"/>
    <ds:schemaRef ds:uri="c520935a-17da-4537-b5c0-fccce62b61dd"/>
    <ds:schemaRef ds:uri="http://schemas.microsoft.com/office/2006/documentManagement/types"/>
    <ds:schemaRef ds:uri="http://purl.org/dc/terms/"/>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81C428C7-015D-48EC-82A7-5A78DE0C7DF3}">
  <ds:schemaRefs>
    <ds:schemaRef ds:uri="http://gemini/pivotcustomization/SandboxNonEmpty"/>
  </ds:schemaRefs>
</ds:datastoreItem>
</file>

<file path=customXml/itemProps3.xml><?xml version="1.0" encoding="utf-8"?>
<ds:datastoreItem xmlns:ds="http://schemas.openxmlformats.org/officeDocument/2006/customXml" ds:itemID="{9462827B-40FC-46AD-8026-2DC421F52EEC}">
  <ds:schemaRefs>
    <ds:schemaRef ds:uri="http://gemini/pivotcustomization/PowerPivotVersion"/>
  </ds:schemaRefs>
</ds:datastoreItem>
</file>

<file path=customXml/itemProps4.xml><?xml version="1.0" encoding="utf-8"?>
<ds:datastoreItem xmlns:ds="http://schemas.openxmlformats.org/officeDocument/2006/customXml" ds:itemID="{3A6B1654-951B-45A2-95F3-CE55D2D2B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0935a-17da-4537-b5c0-fccce62b61dd"/>
    <ds:schemaRef ds:uri="fbdf9bb3-3125-4cf0-8907-afecba77bf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7B125A6F-53AB-45EC-BBED-B8362B421CE8}">
  <ds:schemaRefs>
    <ds:schemaRef ds:uri="http://gemini/pivotcustomization/IsSandboxEmbedded"/>
  </ds:schemaRefs>
</ds:datastoreItem>
</file>

<file path=customXml/itemProps6.xml><?xml version="1.0" encoding="utf-8"?>
<ds:datastoreItem xmlns:ds="http://schemas.openxmlformats.org/officeDocument/2006/customXml" ds:itemID="{EA2E7775-E10C-4CA1-ACF2-08219F162490}">
  <ds:schemaRefs>
    <ds:schemaRef ds:uri="http://gemini/pivotcustomization/RelationshipAutoDetectionEnabled"/>
  </ds:schemaRefs>
</ds:datastoreItem>
</file>

<file path=customXml/itemProps7.xml><?xml version="1.0" encoding="utf-8"?>
<ds:datastoreItem xmlns:ds="http://schemas.openxmlformats.org/officeDocument/2006/customXml" ds:itemID="{F64BC6A5-8091-432C-8081-DCF0D2950994}">
  <ds:schemaRefs>
    <ds:schemaRef ds:uri="http://schemas.microsoft.com/DataMashup"/>
  </ds:schemaRefs>
</ds:datastoreItem>
</file>

<file path=customXml/itemProps8.xml><?xml version="1.0" encoding="utf-8"?>
<ds:datastoreItem xmlns:ds="http://schemas.openxmlformats.org/officeDocument/2006/customXml" ds:itemID="{DA3722D9-DEAC-44D4-8479-E8ED25907C00}">
  <ds:schemaRefs>
    <ds:schemaRef ds:uri="http://gemini/pivotcustomization/ErrorCache"/>
  </ds:schemaRefs>
</ds:datastoreItem>
</file>

<file path=customXml/itemProps9.xml><?xml version="1.0" encoding="utf-8"?>
<ds:datastoreItem xmlns:ds="http://schemas.openxmlformats.org/officeDocument/2006/customXml" ds:itemID="{C1BF3C1A-8991-4F88-8DD4-97F98E525D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Resumen Vulnerabilidades</vt:lpstr>
      <vt:lpstr>Consolidado</vt:lpstr>
      <vt:lpstr>CamposFijos</vt:lpstr>
      <vt:lpstr>Para Lamina</vt:lpstr>
      <vt:lpstr>instTest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EUDES HERNANDEZ, BHD</dc:creator>
  <cp:keywords/>
  <dc:description/>
  <cp:lastModifiedBy>EUDES HERNANDEZ, BHD</cp:lastModifiedBy>
  <cp:revision/>
  <dcterms:created xsi:type="dcterms:W3CDTF">2015-06-05T18:17:20Z</dcterms:created>
  <dcterms:modified xsi:type="dcterms:W3CDTF">2026-03-10T19:28:57Z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0x0101001343D6BF8FAC0141B06C25EE65CC00D8</vt:lpwstr>
  </property>
  <property fmtid="{D5CDD505-2E9C-101B-9397-08002B2CF9AE}" pid="3" name="MediaServiceImageTags">
    <vt:lpwstr/>
  </property>
</Properties>
</file>